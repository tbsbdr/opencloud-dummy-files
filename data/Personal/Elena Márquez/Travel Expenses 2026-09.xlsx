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ember 2026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'September 2026'!$A$1:$I$16</definedName>
    <definedName name="_xlnm._FilterDatabase" localSheetId="1" hidden="1">'Notes'!$A$1:$A$4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165" fontId="1" fillId="0" borderId="1" pivotButton="0" quotePrefix="0" xfId="0"/>
    <xf numFmtId="0" fontId="1" fillId="0" borderId="1" pivotButton="0" quotePrefix="0" xfId="0"/>
    <xf numFmtId="4" fontId="1" fillId="0" borderId="1" pivotButton="0" quotePrefix="0" xfId="0"/>
    <xf numFmtId="165" fontId="1" fillId="3" borderId="1" pivotButton="0" quotePrefix="0" xfId="0"/>
    <xf numFmtId="0" fontId="1" fillId="3" borderId="1" pivotButton="0" quotePrefix="0" xfId="0"/>
    <xf numFmtId="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34" customWidth="1" min="4" max="4"/>
    <col width="9" customWidth="1" min="5" max="5"/>
    <col width="10" customWidth="1" min="6" max="6"/>
    <col width="10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Trip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Currency</t>
        </is>
      </c>
      <c r="F1" s="1" t="inlineStr">
        <is>
          <t>Amount</t>
        </is>
      </c>
      <c r="G1" s="1" t="inlineStr">
        <is>
          <t>FX to EUR</t>
        </is>
      </c>
      <c r="H1" s="1" t="inlineStr">
        <is>
          <t>Amount EUR</t>
        </is>
      </c>
      <c r="I1" s="1" t="inlineStr">
        <is>
          <t>Receipt</t>
        </is>
      </c>
    </row>
    <row r="2">
      <c r="A2" s="2" t="n">
        <v>46267</v>
      </c>
      <c r="B2" s="3" t="inlineStr">
        <is>
          <t>Newport – Severn meeting</t>
        </is>
      </c>
      <c r="C2" s="3" t="inlineStr">
        <is>
          <t>Flight</t>
        </is>
      </c>
      <c r="D2" s="3" t="inlineStr">
        <is>
          <t>EDI–BRS return</t>
        </is>
      </c>
      <c r="E2" s="3" t="inlineStr">
        <is>
          <t>GBP</t>
        </is>
      </c>
      <c r="F2" s="4" t="n">
        <v>186.4</v>
      </c>
      <c r="G2" s="3" t="n">
        <v>1.17</v>
      </c>
      <c r="H2" s="4">
        <f>F2*G2</f>
        <v/>
      </c>
      <c r="I2" s="3" t="inlineStr">
        <is>
          <t>Yes</t>
        </is>
      </c>
    </row>
    <row r="3">
      <c r="A3" s="5" t="n">
        <v>46267</v>
      </c>
      <c r="B3" s="6" t="inlineStr">
        <is>
          <t>Newport – Severn meeting</t>
        </is>
      </c>
      <c r="C3" s="6" t="inlineStr">
        <is>
          <t>Car hire</t>
        </is>
      </c>
      <c r="D3" s="6" t="inlineStr">
        <is>
          <t>Bristol airport, 2 days</t>
        </is>
      </c>
      <c r="E3" s="6" t="inlineStr">
        <is>
          <t>GBP</t>
        </is>
      </c>
      <c r="F3" s="7" t="n">
        <v>92.15000000000001</v>
      </c>
      <c r="G3" s="6" t="n">
        <v>1.17</v>
      </c>
      <c r="H3" s="7">
        <f>F3*G3</f>
        <v/>
      </c>
      <c r="I3" s="6" t="inlineStr">
        <is>
          <t>Yes</t>
        </is>
      </c>
    </row>
    <row r="4">
      <c r="A4" s="2" t="n">
        <v>46267</v>
      </c>
      <c r="B4" s="3" t="inlineStr">
        <is>
          <t>Newport – Severn meeting</t>
        </is>
      </c>
      <c r="C4" s="3" t="inlineStr">
        <is>
          <t>Hotel</t>
        </is>
      </c>
      <c r="D4" s="3" t="inlineStr">
        <is>
          <t>Newport, 1 night</t>
        </is>
      </c>
      <c r="E4" s="3" t="inlineStr">
        <is>
          <t>GBP</t>
        </is>
      </c>
      <c r="F4" s="4" t="n">
        <v>118</v>
      </c>
      <c r="G4" s="3" t="n">
        <v>1.17</v>
      </c>
      <c r="H4" s="4">
        <f>F4*G4</f>
        <v/>
      </c>
      <c r="I4" s="3" t="inlineStr">
        <is>
          <t>Yes</t>
        </is>
      </c>
    </row>
    <row r="5">
      <c r="A5" s="5" t="n">
        <v>46268</v>
      </c>
      <c r="B5" s="6" t="inlineStr">
        <is>
          <t>Newport – Severn meeting</t>
        </is>
      </c>
      <c r="C5" s="6" t="inlineStr">
        <is>
          <t>Meals</t>
        </is>
      </c>
      <c r="D5" s="6" t="inlineStr">
        <is>
          <t>Dinner with Mei + Priya (3 pers.)</t>
        </is>
      </c>
      <c r="E5" s="6" t="inlineStr">
        <is>
          <t>GBP</t>
        </is>
      </c>
      <c r="F5" s="7" t="n">
        <v>96.3</v>
      </c>
      <c r="G5" s="6" t="n">
        <v>1.17</v>
      </c>
      <c r="H5" s="7">
        <f>F5*G5</f>
        <v/>
      </c>
      <c r="I5" s="6" t="inlineStr">
        <is>
          <t>Yes</t>
        </is>
      </c>
    </row>
    <row r="6">
      <c r="A6" s="2" t="n">
        <v>46274</v>
      </c>
      <c r="B6" s="3" t="inlineStr">
        <is>
          <t>Port of Eastholm</t>
        </is>
      </c>
      <c r="C6" s="3" t="inlineStr">
        <is>
          <t>Train</t>
        </is>
      </c>
      <c r="D6" s="3" t="inlineStr">
        <is>
          <t>Edinburgh – Eastholm return</t>
        </is>
      </c>
      <c r="E6" s="3" t="inlineStr">
        <is>
          <t>GBP</t>
        </is>
      </c>
      <c r="F6" s="4" t="n">
        <v>142.6</v>
      </c>
      <c r="G6" s="3" t="n">
        <v>1.17</v>
      </c>
      <c r="H6" s="4">
        <f>F6*G6</f>
        <v/>
      </c>
      <c r="I6" s="3" t="inlineStr">
        <is>
          <t>Yes</t>
        </is>
      </c>
    </row>
    <row r="7">
      <c r="A7" s="5" t="n">
        <v>46274</v>
      </c>
      <c r="B7" s="6" t="inlineStr">
        <is>
          <t>Port of Eastholm</t>
        </is>
      </c>
      <c r="C7" s="6" t="inlineStr">
        <is>
          <t>Hotel</t>
        </is>
      </c>
      <c r="D7" s="6" t="inlineStr">
        <is>
          <t>Harbour Inn, 2 nights</t>
        </is>
      </c>
      <c r="E7" s="6" t="inlineStr">
        <is>
          <t>GBP</t>
        </is>
      </c>
      <c r="F7" s="7" t="n">
        <v>198</v>
      </c>
      <c r="G7" s="6" t="n">
        <v>1.17</v>
      </c>
      <c r="H7" s="7">
        <f>F7*G7</f>
        <v/>
      </c>
      <c r="I7" s="6" t="inlineStr">
        <is>
          <t>Yes</t>
        </is>
      </c>
    </row>
    <row r="8">
      <c r="A8" s="2" t="n">
        <v>46286</v>
      </c>
      <c r="B8" s="3" t="inlineStr">
        <is>
          <t>Hamburg – Summit + SteerCo</t>
        </is>
      </c>
      <c r="C8" s="3" t="inlineStr">
        <is>
          <t>Flight</t>
        </is>
      </c>
      <c r="D8" s="3" t="inlineStr">
        <is>
          <t>EDI–HAM return</t>
        </is>
      </c>
      <c r="E8" s="3" t="inlineStr">
        <is>
          <t>EUR</t>
        </is>
      </c>
      <c r="F8" s="4" t="n">
        <v>312.48</v>
      </c>
      <c r="G8" s="3" t="n">
        <v>1</v>
      </c>
      <c r="H8" s="4">
        <f>F8*G8</f>
        <v/>
      </c>
      <c r="I8" s="3" t="inlineStr">
        <is>
          <t>Yes</t>
        </is>
      </c>
    </row>
    <row r="9">
      <c r="A9" s="5" t="n">
        <v>46286</v>
      </c>
      <c r="B9" s="6" t="inlineStr">
        <is>
          <t>Hamburg – Summit + SteerCo</t>
        </is>
      </c>
      <c r="C9" s="6" t="inlineStr">
        <is>
          <t>Hotel</t>
        </is>
      </c>
      <c r="D9" s="6" t="inlineStr">
        <is>
          <t>Hafencity, 3 nights</t>
        </is>
      </c>
      <c r="E9" s="6" t="inlineStr">
        <is>
          <t>EUR</t>
        </is>
      </c>
      <c r="F9" s="7" t="n">
        <v>527</v>
      </c>
      <c r="G9" s="6" t="n">
        <v>1</v>
      </c>
      <c r="H9" s="7">
        <f>F9*G9</f>
        <v/>
      </c>
      <c r="I9" s="6" t="inlineStr">
        <is>
          <t>Yes</t>
        </is>
      </c>
    </row>
    <row r="10">
      <c r="A10" s="2" t="n">
        <v>46287</v>
      </c>
      <c r="B10" s="3" t="inlineStr">
        <is>
          <t>Hamburg – Summit + SteerCo</t>
        </is>
      </c>
      <c r="C10" s="3" t="inlineStr">
        <is>
          <t>Taxi</t>
        </is>
      </c>
      <c r="D10" s="3" t="inlineStr">
        <is>
          <t>Airport – hotel</t>
        </is>
      </c>
      <c r="E10" s="3" t="inlineStr">
        <is>
          <t>EUR</t>
        </is>
      </c>
      <c r="F10" s="4" t="n">
        <v>38.5</v>
      </c>
      <c r="G10" s="3" t="n">
        <v>1</v>
      </c>
      <c r="H10" s="4">
        <f>F10*G10</f>
        <v/>
      </c>
      <c r="I10" s="3" t="inlineStr">
        <is>
          <t>Yes</t>
        </is>
      </c>
    </row>
    <row r="11">
      <c r="A11" s="5" t="n">
        <v>46288</v>
      </c>
      <c r="B11" s="6" t="inlineStr">
        <is>
          <t>Hamburg – Summit + SteerCo</t>
        </is>
      </c>
      <c r="C11" s="6" t="inlineStr">
        <is>
          <t>Meals</t>
        </is>
      </c>
      <c r="D11" s="6" t="inlineStr">
        <is>
          <t>Lunch w/ Lars Henriksen (Halden)</t>
        </is>
      </c>
      <c r="E11" s="6" t="inlineStr">
        <is>
          <t>EUR</t>
        </is>
      </c>
      <c r="F11" s="7" t="n">
        <v>64.2</v>
      </c>
      <c r="G11" s="6" t="n">
        <v>1</v>
      </c>
      <c r="H11" s="7">
        <f>F11*G11</f>
        <v/>
      </c>
      <c r="I11" s="6" t="inlineStr">
        <is>
          <t>Missing – ask restaurant</t>
        </is>
      </c>
    </row>
    <row r="12">
      <c r="A12" s="2" t="n">
        <v>46289</v>
      </c>
      <c r="B12" s="3" t="inlineStr">
        <is>
          <t>Hamburg – Summit + SteerCo</t>
        </is>
      </c>
      <c r="C12" s="3" t="inlineStr">
        <is>
          <t>Taxi</t>
        </is>
      </c>
      <c r="D12" s="3" t="inlineStr">
        <is>
          <t>Hotel – airport</t>
        </is>
      </c>
      <c r="E12" s="3" t="inlineStr">
        <is>
          <t>EUR</t>
        </is>
      </c>
      <c r="F12" s="4" t="n">
        <v>41</v>
      </c>
      <c r="G12" s="3" t="n">
        <v>1</v>
      </c>
      <c r="H12" s="4">
        <f>F12*G12</f>
        <v/>
      </c>
      <c r="I12" s="3" t="inlineStr">
        <is>
          <t>Yes</t>
        </is>
      </c>
    </row>
    <row r="13">
      <c r="A13" s="5" t="n">
        <v>46294</v>
      </c>
      <c r="B13" s="6" t="inlineStr">
        <is>
          <t>Port of Eastholm</t>
        </is>
      </c>
      <c r="C13" s="6" t="inlineStr">
        <is>
          <t>Train</t>
        </is>
      </c>
      <c r="D13" s="6" t="inlineStr">
        <is>
          <t>Edinburgh – Eastholm return</t>
        </is>
      </c>
      <c r="E13" s="6" t="inlineStr">
        <is>
          <t>GBP</t>
        </is>
      </c>
      <c r="F13" s="7" t="n">
        <v>142.6</v>
      </c>
      <c r="G13" s="6" t="n">
        <v>1.17</v>
      </c>
      <c r="H13" s="7">
        <f>F13*G13</f>
        <v/>
      </c>
      <c r="I13" s="6" t="inlineStr">
        <is>
          <t>Yes</t>
        </is>
      </c>
    </row>
    <row r="14">
      <c r="A14" s="2" t="n">
        <v>46294</v>
      </c>
      <c r="B14" s="3" t="inlineStr">
        <is>
          <t>Port of Eastholm</t>
        </is>
      </c>
      <c r="C14" s="3" t="inlineStr">
        <is>
          <t>Hotel</t>
        </is>
      </c>
      <c r="D14" s="3" t="inlineStr">
        <is>
          <t>Harbour Inn, 2 nights</t>
        </is>
      </c>
      <c r="E14" s="3" t="inlineStr">
        <is>
          <t>GBP</t>
        </is>
      </c>
      <c r="F14" s="4" t="n">
        <v>198</v>
      </c>
      <c r="G14" s="3" t="n">
        <v>1.17</v>
      </c>
      <c r="H14" s="4">
        <f>F14*G14</f>
        <v/>
      </c>
      <c r="I14" s="3" t="inlineStr">
        <is>
          <t>Yes</t>
        </is>
      </c>
    </row>
    <row r="15">
      <c r="A15" s="5" t="n">
        <v>46295</v>
      </c>
      <c r="B15" s="6" t="inlineStr">
        <is>
          <t>Port of Eastholm</t>
        </is>
      </c>
      <c r="C15" s="6" t="inlineStr">
        <is>
          <t>Other</t>
        </is>
      </c>
      <c r="D15" s="6" t="inlineStr">
        <is>
          <t>Cake for the site office (A14!)</t>
        </is>
      </c>
      <c r="E15" s="6" t="inlineStr">
        <is>
          <t>GBP</t>
        </is>
      </c>
      <c r="F15" s="7" t="n">
        <v>24.8</v>
      </c>
      <c r="G15" s="6" t="n">
        <v>1.17</v>
      </c>
      <c r="H15" s="7">
        <f>F15*G15</f>
        <v/>
      </c>
      <c r="I15" s="6" t="inlineStr">
        <is>
          <t>Yes</t>
        </is>
      </c>
    </row>
    <row r="16">
      <c r="A16" s="2" t="inlineStr"/>
      <c r="B16" s="3" t="inlineStr"/>
      <c r="C16" s="3" t="inlineStr"/>
      <c r="D16" s="3" t="inlineStr">
        <is>
          <t>Total</t>
        </is>
      </c>
      <c r="E16" s="3" t="inlineStr"/>
      <c r="F16" s="4" t="inlineStr"/>
      <c r="G16" s="3" t="inlineStr"/>
      <c r="H16" s="4">
        <f>SUM(H2:H15)</f>
        <v/>
      </c>
      <c r="I16" s="3" t="inlineStr"/>
    </row>
  </sheetData>
  <autoFilter ref="A1:I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s="3" t="inlineStr">
        <is>
          <t>Cost centre HB-7100 for all trips</t>
        </is>
      </c>
    </row>
    <row r="3">
      <c r="A3" s="6" t="inlineStr">
        <is>
          <t>Summit costs partly on marketing budget? ask Noah</t>
        </is>
      </c>
    </row>
    <row r="4">
      <c r="A4" s="3" t="inlineStr">
        <is>
          <t>FX: company rate September 1 GBP = 1.17 EUR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Márquez</dc:creator>
  <dcterms:created xmlns:dcterms="http://purl.org/dc/terms/" xmlns:xsi="http://www.w3.org/2001/XMLSchema-instance" xsi:type="dcterms:W3CDTF">2026-09-03T10:00:00Z</dcterms:created>
  <dcterms:modified xmlns:dcterms="http://purl.org/dc/terms/" xmlns:xsi="http://www.w3.org/2001/XMLSchema-instance" xsi:type="dcterms:W3CDTF">2026-10-04T19:30:41Z</dcterms:modified>
  <cp:lastModifiedBy>Elena Márquez</cp:lastModifiedBy>
</cp:coreProperties>
</file>