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ex" sheetId="2" state="visible" r:id="rId2"/>
  </sheets>
  <definedNames>
    <definedName name="_xlnm._FilterDatabase" localSheetId="0" hidden="1">'Inputs'!$A$1:$D$13</definedName>
    <definedName name="_xlnm._FilterDatabase" localSheetId="1" hidden="1">'Capex'!$A$1:$B$6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9" customWidth="1" min="2" max="2"/>
    <col width="15" customWidth="1" min="3" max="3"/>
    <col width="39" customWidth="1" min="4" max="4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Electrolyser capacity</t>
        </is>
      </c>
      <c r="B2" s="2" t="n">
        <v>5</v>
      </c>
      <c r="C2" s="2" t="inlineStr">
        <is>
          <t>MW</t>
        </is>
      </c>
      <c r="D2" s="2" t="inlineStr">
        <is>
          <t>Feasibility study</t>
        </is>
      </c>
    </row>
    <row r="3">
      <c r="A3" s="3" t="inlineStr">
        <is>
          <t>Full-load hours</t>
        </is>
      </c>
      <c r="B3" s="3" t="n">
        <v>5200</v>
      </c>
      <c r="C3" s="3" t="inlineStr">
        <is>
          <t>h/a</t>
        </is>
      </c>
      <c r="D3" s="3" t="inlineStr">
        <is>
          <t>Dispatch model</t>
        </is>
      </c>
    </row>
    <row r="4">
      <c r="A4" s="2" t="inlineStr">
        <is>
          <t>Specific consumption (system)</t>
        </is>
      </c>
      <c r="B4" s="2" t="n">
        <v>54</v>
      </c>
      <c r="C4" s="2" t="inlineStr">
        <is>
          <t>kWh/kg</t>
        </is>
      </c>
      <c r="D4" s="2" t="inlineStr">
        <is>
          <t>Vendor RFI, average of PEM bids</t>
        </is>
      </c>
    </row>
    <row r="5">
      <c r="A5" s="3" t="inlineStr">
        <is>
          <t>Electricity price incl. network charges</t>
        </is>
      </c>
      <c r="B5" s="3" t="n">
        <v>62</v>
      </c>
      <c r="C5" s="3" t="inlineStr">
        <is>
          <t>EUR/MWh</t>
        </is>
      </c>
      <c r="D5" s="3" t="inlineStr">
        <is>
          <t>Sleeved Harrow Bay + grid</t>
        </is>
      </c>
    </row>
    <row r="6">
      <c r="A6" s="2" t="inlineStr">
        <is>
          <t>WACC (nominal, pre-tax)</t>
        </is>
      </c>
      <c r="B6" s="2" t="n">
        <v>0.07000000000000001</v>
      </c>
      <c r="C6" s="2" t="inlineStr"/>
      <c r="D6" s="2" t="inlineStr">
        <is>
          <t>Finance guidance 2026</t>
        </is>
      </c>
    </row>
    <row r="7">
      <c r="A7" s="3" t="inlineStr">
        <is>
          <t>Lifetime</t>
        </is>
      </c>
      <c r="B7" s="3" t="n">
        <v>20</v>
      </c>
      <c r="C7" s="3" t="inlineStr">
        <is>
          <t>years</t>
        </is>
      </c>
      <c r="D7" s="3" t="inlineStr"/>
    </row>
    <row r="8">
      <c r="A8" s="2" t="inlineStr">
        <is>
          <t>Total capex</t>
        </is>
      </c>
      <c r="B8" s="2">
        <f>Capex!B10</f>
        <v/>
      </c>
      <c r="C8" s="2" t="inlineStr">
        <is>
          <t>EUR m</t>
        </is>
      </c>
      <c r="D8" s="2" t="inlineStr">
        <is>
          <t>Capex tab</t>
        </is>
      </c>
    </row>
    <row r="9">
      <c r="A9" s="3" t="inlineStr">
        <is>
          <t>Fixed O&amp;M</t>
        </is>
      </c>
      <c r="B9" s="3" t="n">
        <v>0.025</v>
      </c>
      <c r="C9" s="3" t="inlineStr">
        <is>
          <t>of capex p.a.</t>
        </is>
      </c>
      <c r="D9" s="3" t="inlineStr"/>
    </row>
    <row r="10">
      <c r="A10" s="2" t="inlineStr">
        <is>
          <t>Stack replacement provision</t>
        </is>
      </c>
      <c r="B10" s="2" t="n">
        <v>0.22</v>
      </c>
      <c r="C10" s="2" t="inlineStr">
        <is>
          <t>EUR m/a</t>
        </is>
      </c>
      <c r="D10" s="2" t="inlineStr">
        <is>
          <t>Replacement at ~70,000 h</t>
        </is>
      </c>
    </row>
    <row r="11">
      <c r="A11" s="3" t="inlineStr">
        <is>
          <t>Staff (2 FTE shared)</t>
        </is>
      </c>
      <c r="B11" s="3" t="n">
        <v>0.25</v>
      </c>
      <c r="C11" s="3" t="inlineStr">
        <is>
          <t>EUR m/a</t>
        </is>
      </c>
      <c r="D11" s="3" t="inlineStr"/>
    </row>
    <row r="12">
      <c r="A12" s="2" t="inlineStr">
        <is>
          <t>Water and consumables</t>
        </is>
      </c>
      <c r="B12" s="2" t="n">
        <v>0.03</v>
      </c>
      <c r="C12" s="2" t="inlineStr">
        <is>
          <t>EUR m/a</t>
        </is>
      </c>
      <c r="D12" s="2" t="inlineStr"/>
    </row>
    <row r="13">
      <c r="A13" s="3" t="inlineStr">
        <is>
          <t>Innovation Fund grant</t>
        </is>
      </c>
      <c r="B13" s="3" t="n">
        <v>10.5</v>
      </c>
      <c r="C13" s="3" t="inlineStr">
        <is>
          <t>EUR m</t>
        </is>
      </c>
      <c r="D13" s="3" t="inlineStr">
        <is>
          <t>Scenario – set to 0 for no-grant case</t>
        </is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</cols>
  <sheetData>
    <row r="1">
      <c r="A1" s="1" t="inlineStr">
        <is>
          <t>Item</t>
        </is>
      </c>
      <c r="B1" s="1" t="inlineStr">
        <is>
          <t>EUR m</t>
        </is>
      </c>
    </row>
    <row r="2">
      <c r="A2" s="2" t="inlineStr">
        <is>
          <t>Electrolyser and BoP</t>
        </is>
      </c>
      <c r="B2" s="2" t="n">
        <v>10.5</v>
      </c>
    </row>
    <row r="3">
      <c r="A3" s="3" t="inlineStr">
        <is>
          <t>Compression, storage, 4 tube trailers</t>
        </is>
      </c>
      <c r="B3" s="3" t="n">
        <v>4.9</v>
      </c>
    </row>
    <row r="4">
      <c r="A4" s="2" t="inlineStr">
        <is>
          <t>Grid, civil, owner's costs</t>
        </is>
      </c>
      <c r="B4" s="2" t="n">
        <v>5.7</v>
      </c>
    </row>
    <row r="5">
      <c r="A5" s="3" t="inlineStr">
        <is>
          <t>Contingency</t>
        </is>
      </c>
      <c r="B5" s="3" t="n">
        <v>1.7</v>
      </c>
    </row>
    <row r="6">
      <c r="A6" s="2" t="inlineStr">
        <is>
          <t>Total</t>
        </is>
      </c>
      <c r="B6" s="2">
        <f>SUM(B2:B5)</f>
        <v/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2026-04-20T10:00:00Z</dcterms:created>
  <dcterms:modified xmlns:dcterms="http://purl.org/dc/terms/" xmlns:xsi="http://www.w3.org/2001/XMLSchema-instance" xsi:type="dcterms:W3CDTF">2026-10-04T19:30:31Z</dcterms:modified>
  <cp:lastModifiedBy>Sofie Lindqvist</cp:lastModifiedBy>
</cp:coreProperties>
</file>