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PPAs" sheetId="2" state="visible" r:id="rId2"/>
    <sheet xmlns:r="http://schemas.openxmlformats.org/officeDocument/2006/relationships" name="Summary by area" sheetId="3" state="visible" r:id="rId3"/>
    <sheet xmlns:r="http://schemas.openxmlformats.org/officeDocument/2006/relationships" name="Change log" sheetId="4" state="visible" r:id="rId4"/>
  </sheets>
  <definedNames>
    <definedName name="_xlnm._FilterDatabase" localSheetId="0" hidden="1">'Register'!$A$1:$M$39</definedName>
    <definedName name="_xlnm._FilterDatabase" localSheetId="1" hidden="1">'PPAs'!$A$1:$I$5</definedName>
    <definedName name="_xlnm._FilterDatabase" localSheetId="2" hidden="1">'Summary by area'!$A$1:$C$11</definedName>
    <definedName name="_xlnm._FilterDatabase" localSheetId="3" hidden="1">'Change log'!$A$1:$C$4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16" customWidth="1" min="4" max="4"/>
    <col width="20" customWidth="1" min="5" max="5"/>
    <col width="16" customWidth="1" min="6" max="6"/>
    <col width="11" customWidth="1" min="7" max="7"/>
    <col width="11" customWidth="1" min="8" max="8"/>
    <col width="11" customWidth="1" min="9" max="9"/>
    <col width="16" customWidth="1" min="10" max="10"/>
    <col width="20" customWidth="1" min="11" max="11"/>
    <col width="9" customWidth="1" min="12" max="12"/>
    <col width="50" customWidth="1" min="13" max="13"/>
  </cols>
  <sheetData>
    <row r="1">
      <c r="A1" s="1" t="inlineStr">
        <is>
          <t>Contract ID</t>
        </is>
      </c>
      <c r="B1" s="1" t="inlineStr">
        <is>
          <t>Title</t>
        </is>
      </c>
      <c r="C1" s="1" t="inlineStr">
        <is>
          <t>Counterparty</t>
        </is>
      </c>
      <c r="D1" s="1" t="inlineStr">
        <is>
          <t>Type</t>
        </is>
      </c>
      <c r="E1" s="1" t="inlineStr">
        <is>
          <t>Project / area</t>
        </is>
      </c>
      <c r="F1" s="1" t="inlineStr">
        <is>
          <t>Contract owner</t>
        </is>
      </c>
      <c r="G1" s="1" t="inlineStr">
        <is>
          <t>Signed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Value (EUR)</t>
        </is>
      </c>
      <c r="K1" s="1" t="inlineStr">
        <is>
          <t>Status</t>
        </is>
      </c>
      <c r="L1" s="1" t="inlineStr">
        <is>
          <t>Notice (months)</t>
        </is>
      </c>
      <c r="M1" s="1" t="inlineStr">
        <is>
          <t>Notes</t>
        </is>
      </c>
    </row>
    <row r="2">
      <c r="A2" s="2" t="inlineStr">
        <is>
          <t>WE-CON-2022-011</t>
        </is>
      </c>
      <c r="B2" s="2" t="inlineStr">
        <is>
          <t>Grid Connection Agreement Harrow Bay East</t>
        </is>
      </c>
      <c r="C2" s="2" t="inlineStr">
        <is>
          <t>NordGrid Transmission</t>
        </is>
      </c>
      <c r="D2" s="2" t="inlineStr">
        <is>
          <t>Grid connection</t>
        </is>
      </c>
      <c r="E2" s="2" t="inlineStr">
        <is>
          <t>Harrow Bay</t>
        </is>
      </c>
      <c r="F2" s="2" t="inlineStr">
        <is>
          <t>Ahmed Rahimi</t>
        </is>
      </c>
      <c r="G2" s="2" t="inlineStr">
        <is>
          <t>2022-09-14</t>
        </is>
      </c>
      <c r="H2" s="2" t="inlineStr">
        <is>
          <t>2022-09-14</t>
        </is>
      </c>
      <c r="I2" s="2" t="inlineStr">
        <is>
          <t>2053-06-30</t>
        </is>
      </c>
      <c r="J2" s="3" t="n">
        <v>48500000</v>
      </c>
      <c r="K2" s="2" t="inlineStr">
        <is>
          <t>Active</t>
        </is>
      </c>
      <c r="L2" s="2" t="inlineStr"/>
      <c r="M2" s="2" t="inlineStr"/>
    </row>
    <row r="3">
      <c r="A3" s="4" t="inlineStr">
        <is>
          <t>WE-CON-2022-019</t>
        </is>
      </c>
      <c r="B3" s="4" t="inlineStr">
        <is>
          <t>Turbine Supply &amp; Installation Kestrel Ridge</t>
        </is>
      </c>
      <c r="C3" s="4" t="inlineStr">
        <is>
          <t>Vestmark Wind Systems A/S</t>
        </is>
      </c>
      <c r="D3" s="4" t="inlineStr">
        <is>
          <t>Supply</t>
        </is>
      </c>
      <c r="E3" s="4" t="inlineStr">
        <is>
          <t>Kestrel Ridge</t>
        </is>
      </c>
      <c r="F3" s="4" t="inlineStr">
        <is>
          <t>Lukas Meyer</t>
        </is>
      </c>
      <c r="G3" s="4" t="inlineStr">
        <is>
          <t>2022-04-21</t>
        </is>
      </c>
      <c r="H3" s="4" t="inlineStr">
        <is>
          <t>2022-04-21</t>
        </is>
      </c>
      <c r="I3" s="4" t="inlineStr">
        <is>
          <t>2024-09-30</t>
        </is>
      </c>
      <c r="J3" s="5" t="n">
        <v>61200000</v>
      </c>
      <c r="K3" s="4" t="inlineStr">
        <is>
          <t>Expired</t>
        </is>
      </c>
      <c r="L3" s="4" t="inlineStr"/>
      <c r="M3" s="4" t="inlineStr"/>
    </row>
    <row r="4">
      <c r="A4" s="2" t="inlineStr">
        <is>
          <t>WE-CON-2022-024</t>
        </is>
      </c>
      <c r="B4" s="2" t="inlineStr">
        <is>
          <t>Land Lease Kestrel Ridge (Ridgeside Estate)</t>
        </is>
      </c>
      <c r="C4" s="2" t="inlineStr">
        <is>
          <t>Ridgeside Estate Trustees</t>
        </is>
      </c>
      <c r="D4" s="2" t="inlineStr">
        <is>
          <t>Land lease</t>
        </is>
      </c>
      <c r="E4" s="2" t="inlineStr">
        <is>
          <t>Kestrel Ridge</t>
        </is>
      </c>
      <c r="F4" s="2" t="inlineStr">
        <is>
          <t>Lukas Meyer</t>
        </is>
      </c>
      <c r="G4" s="2" t="inlineStr">
        <is>
          <t>2022-06-03</t>
        </is>
      </c>
      <c r="H4" s="2" t="inlineStr">
        <is>
          <t>2022-06-03</t>
        </is>
      </c>
      <c r="I4" s="2" t="inlineStr">
        <is>
          <t>2049-06-02</t>
        </is>
      </c>
      <c r="J4" s="3" t="n">
        <v>3450000</v>
      </c>
      <c r="K4" s="2" t="inlineStr">
        <is>
          <t>Active</t>
        </is>
      </c>
      <c r="L4" s="2" t="inlineStr"/>
      <c r="M4" s="2" t="inlineStr"/>
    </row>
    <row r="5">
      <c r="A5" s="4" t="inlineStr">
        <is>
          <t>WE-CON-2023-004</t>
        </is>
      </c>
      <c r="B5" s="4" t="inlineStr">
        <is>
          <t>Grid Connection Agreement Kestrel Ridge</t>
        </is>
      </c>
      <c r="C5" s="4" t="inlineStr">
        <is>
          <t>NordGrid Transmission</t>
        </is>
      </c>
      <c r="D5" s="4" t="inlineStr">
        <is>
          <t>Grid connection</t>
        </is>
      </c>
      <c r="E5" s="4" t="inlineStr">
        <is>
          <t>Kestrel Ridge</t>
        </is>
      </c>
      <c r="F5" s="4" t="inlineStr">
        <is>
          <t>Ahmed Rahimi</t>
        </is>
      </c>
      <c r="G5" s="4" t="inlineStr">
        <is>
          <t>2023-02-08</t>
        </is>
      </c>
      <c r="H5" s="4" t="inlineStr">
        <is>
          <t>2023-02-08</t>
        </is>
      </c>
      <c r="I5" s="4" t="inlineStr">
        <is>
          <t>2049-03-14</t>
        </is>
      </c>
      <c r="J5" s="5" t="n">
        <v>6900000</v>
      </c>
      <c r="K5" s="4" t="inlineStr">
        <is>
          <t>Active</t>
        </is>
      </c>
      <c r="L5" s="4" t="inlineStr"/>
      <c r="M5" s="4" t="inlineStr"/>
    </row>
    <row r="6">
      <c r="A6" s="2" t="inlineStr">
        <is>
          <t>WE-CON-2023-015</t>
        </is>
      </c>
      <c r="B6" s="2" t="inlineStr">
        <is>
          <t>O&amp;M Agreement Kestrel Ridge Wind Farm</t>
        </is>
      </c>
      <c r="C6" s="2" t="inlineStr">
        <is>
          <t>Highline Wind Services</t>
        </is>
      </c>
      <c r="D6" s="2" t="inlineStr">
        <is>
          <t>O&amp;M</t>
        </is>
      </c>
      <c r="E6" s="2" t="inlineStr">
        <is>
          <t>Kestrel Ridge</t>
        </is>
      </c>
      <c r="F6" s="2" t="inlineStr">
        <is>
          <t>Lukas Meyer</t>
        </is>
      </c>
      <c r="G6" s="2" t="inlineStr">
        <is>
          <t>2023-11-28</t>
        </is>
      </c>
      <c r="H6" s="2" t="inlineStr">
        <is>
          <t>2024-03-15</t>
        </is>
      </c>
      <c r="I6" s="2" t="inlineStr">
        <is>
          <t>2029-03-14</t>
        </is>
      </c>
      <c r="J6" s="3" t="n">
        <v>20400000</v>
      </c>
      <c r="K6" s="2" t="inlineStr">
        <is>
          <t>Active</t>
        </is>
      </c>
      <c r="L6" s="2" t="n">
        <v>12</v>
      </c>
      <c r="M6" s="2" t="inlineStr">
        <is>
          <t>Warranty claim T-07 gearbox (KR-INC-2026-003) settled 2026-03</t>
        </is>
      </c>
    </row>
    <row r="7">
      <c r="A7" s="4" t="inlineStr">
        <is>
          <t>WE-CON-2023-021</t>
        </is>
      </c>
      <c r="B7" s="4" t="inlineStr">
        <is>
          <t>SCADA &amp; Remote Monitoring Services</t>
        </is>
      </c>
      <c r="C7" s="4" t="inlineStr">
        <is>
          <t>Fjordline Control Systems AS</t>
        </is>
      </c>
      <c r="D7" s="4" t="inlineStr">
        <is>
          <t>Services</t>
        </is>
      </c>
      <c r="E7" s="4" t="inlineStr">
        <is>
          <t>Asset Operations</t>
        </is>
      </c>
      <c r="F7" s="4" t="inlineStr">
        <is>
          <t>Lukas Meyer</t>
        </is>
      </c>
      <c r="G7" s="4" t="inlineStr">
        <is>
          <t>2023-12-11</t>
        </is>
      </c>
      <c r="H7" s="4" t="inlineStr">
        <is>
          <t>2024-01-01</t>
        </is>
      </c>
      <c r="I7" s="4" t="inlineStr">
        <is>
          <t>2026-12-31</t>
        </is>
      </c>
      <c r="J7" s="5" t="n">
        <v>640000</v>
      </c>
      <c r="K7" s="4" t="inlineStr">
        <is>
          <t>Renewal due</t>
        </is>
      </c>
      <c r="L7" s="4" t="n">
        <v>3</v>
      </c>
      <c r="M7" s="4" t="inlineStr">
        <is>
          <t>Renewal decision required by 30 Sep 2026 – extended 12 months</t>
        </is>
      </c>
    </row>
    <row r="8">
      <c r="A8" s="2" t="inlineStr">
        <is>
          <t>WE-CON-2024-002</t>
        </is>
      </c>
      <c r="B8" s="2" t="inlineStr">
        <is>
          <t>Statutory Audit Engagement 2024–2026</t>
        </is>
      </c>
      <c r="C8" s="2" t="inlineStr">
        <is>
          <t>Keller &amp; Rowe Wirtschaftsprüfung</t>
        </is>
      </c>
      <c r="D8" s="2" t="inlineStr">
        <is>
          <t>Professional services</t>
        </is>
      </c>
      <c r="E8" s="2" t="inlineStr">
        <is>
          <t>Corporate</t>
        </is>
      </c>
      <c r="F8" s="2" t="inlineStr">
        <is>
          <t>Priya Nair</t>
        </is>
      </c>
      <c r="G8" s="2" t="inlineStr">
        <is>
          <t>2024-05-16</t>
        </is>
      </c>
      <c r="H8" s="2" t="inlineStr">
        <is>
          <t>2024-05-16</t>
        </is>
      </c>
      <c r="I8" s="2" t="inlineStr">
        <is>
          <t>2027-05-31</t>
        </is>
      </c>
      <c r="J8" s="3" t="n">
        <v>1020000</v>
      </c>
      <c r="K8" s="2" t="inlineStr">
        <is>
          <t>Active</t>
        </is>
      </c>
      <c r="L8" s="2" t="inlineStr"/>
      <c r="M8" s="2" t="inlineStr"/>
    </row>
    <row r="9">
      <c r="A9" s="4" t="inlineStr">
        <is>
          <t>WE-CON-2024-008</t>
        </is>
      </c>
      <c r="B9" s="4" t="inlineStr">
        <is>
          <t>Office Lease Hamburg HQ, Am Sandtorkai 41</t>
        </is>
      </c>
      <c r="C9" s="4" t="inlineStr">
        <is>
          <t>Sandtorkai Properties KG</t>
        </is>
      </c>
      <c r="D9" s="4" t="inlineStr">
        <is>
          <t>Real estate</t>
        </is>
      </c>
      <c r="E9" s="4" t="inlineStr">
        <is>
          <t>Corporate</t>
        </is>
      </c>
      <c r="F9" s="4" t="inlineStr">
        <is>
          <t>Lukas Meyer</t>
        </is>
      </c>
      <c r="G9" s="4" t="inlineStr">
        <is>
          <t>2024-03-01</t>
        </is>
      </c>
      <c r="H9" s="4" t="inlineStr">
        <is>
          <t>2024-09-01</t>
        </is>
      </c>
      <c r="I9" s="4" t="inlineStr">
        <is>
          <t>2034-08-31</t>
        </is>
      </c>
      <c r="J9" s="5" t="n">
        <v>9800000</v>
      </c>
      <c r="K9" s="4" t="inlineStr">
        <is>
          <t>Active</t>
        </is>
      </c>
      <c r="L9" s="4" t="n">
        <v>12</v>
      </c>
      <c r="M9" s="4" t="inlineStr"/>
    </row>
    <row r="10">
      <c r="A10" s="2" t="inlineStr">
        <is>
          <t>WE-CON-2024-011</t>
        </is>
      </c>
      <c r="B10" s="2" t="inlineStr">
        <is>
          <t>Office Lease Edinburgh, Melville Street</t>
        </is>
      </c>
      <c r="C10" s="2" t="inlineStr">
        <is>
          <t>Caledonian Office Holdings Ltd</t>
        </is>
      </c>
      <c r="D10" s="2" t="inlineStr">
        <is>
          <t>Real estate</t>
        </is>
      </c>
      <c r="E10" s="2" t="inlineStr">
        <is>
          <t>Corporate</t>
        </is>
      </c>
      <c r="F10" s="2" t="inlineStr">
        <is>
          <t>Lukas Meyer</t>
        </is>
      </c>
      <c r="G10" s="2" t="inlineStr">
        <is>
          <t>2024-04-17</t>
        </is>
      </c>
      <c r="H10" s="2" t="inlineStr">
        <is>
          <t>2024-06-01</t>
        </is>
      </c>
      <c r="I10" s="2" t="inlineStr">
        <is>
          <t>2029-05-31</t>
        </is>
      </c>
      <c r="J10" s="3" t="n">
        <v>2150000</v>
      </c>
      <c r="K10" s="2" t="inlineStr">
        <is>
          <t>Active</t>
        </is>
      </c>
      <c r="L10" s="2" t="n">
        <v>6</v>
      </c>
      <c r="M10" s="2" t="inlineStr"/>
    </row>
    <row r="11">
      <c r="A11" s="4" t="inlineStr">
        <is>
          <t>WE-CON-2024-012</t>
        </is>
      </c>
      <c r="B11" s="4" t="inlineStr">
        <is>
          <t>Office Lease Copenhagen, Nordhavn</t>
        </is>
      </c>
      <c r="C11" s="4" t="inlineStr">
        <is>
          <t>Nordhavn Erhverv ApS</t>
        </is>
      </c>
      <c r="D11" s="4" t="inlineStr">
        <is>
          <t>Real estate</t>
        </is>
      </c>
      <c r="E11" s="4" t="inlineStr">
        <is>
          <t>Corporate</t>
        </is>
      </c>
      <c r="F11" s="4" t="inlineStr">
        <is>
          <t>Lukas Meyer</t>
        </is>
      </c>
      <c r="G11" s="4" t="inlineStr">
        <is>
          <t>2024-05-02</t>
        </is>
      </c>
      <c r="H11" s="4" t="inlineStr">
        <is>
          <t>2024-07-01</t>
        </is>
      </c>
      <c r="I11" s="4" t="inlineStr">
        <is>
          <t>2028-06-30</t>
        </is>
      </c>
      <c r="J11" s="5" t="n">
        <v>1380000</v>
      </c>
      <c r="K11" s="4" t="inlineStr">
        <is>
          <t>Active</t>
        </is>
      </c>
      <c r="L11" s="4" t="n">
        <v>6</v>
      </c>
      <c r="M11" s="4" t="inlineStr"/>
    </row>
    <row r="12">
      <c r="A12" s="2" t="inlineStr">
        <is>
          <t>WE-CON-2024-019</t>
        </is>
      </c>
      <c r="B12" s="2" t="inlineStr">
        <is>
          <t>Managed IT Services Agreement</t>
        </is>
      </c>
      <c r="C12" s="2" t="inlineStr">
        <is>
          <t>Northlight IT Services</t>
        </is>
      </c>
      <c r="D12" s="2" t="inlineStr">
        <is>
          <t>Services</t>
        </is>
      </c>
      <c r="E12" s="2" t="inlineStr">
        <is>
          <t>IT &amp; Security</t>
        </is>
      </c>
      <c r="F12" s="2" t="inlineStr">
        <is>
          <t>Priya Nair</t>
        </is>
      </c>
      <c r="G12" s="2" t="inlineStr">
        <is>
          <t>2024-07-09</t>
        </is>
      </c>
      <c r="H12" s="2" t="inlineStr">
        <is>
          <t>2024-08-01</t>
        </is>
      </c>
      <c r="I12" s="2" t="inlineStr">
        <is>
          <t>2027-07-31</t>
        </is>
      </c>
      <c r="J12" s="3" t="n">
        <v>2880000</v>
      </c>
      <c r="K12" s="2" t="inlineStr">
        <is>
          <t>Active</t>
        </is>
      </c>
      <c r="L12" s="2" t="n">
        <v>6</v>
      </c>
      <c r="M12" s="2" t="inlineStr"/>
    </row>
    <row r="13">
      <c r="A13" s="4" t="inlineStr">
        <is>
          <t>WE-CON-2024-026</t>
        </is>
      </c>
      <c r="B13" s="4" t="inlineStr">
        <is>
          <t>Framework Agreement Ecological Surveys</t>
        </is>
      </c>
      <c r="C13" s="4" t="inlineStr">
        <is>
          <t>Marlow Ecology Ltd</t>
        </is>
      </c>
      <c r="D13" s="4" t="inlineStr">
        <is>
          <t>Framework</t>
        </is>
      </c>
      <c r="E13" s="4" t="inlineStr">
        <is>
          <t>Harrow Bay / Millbrook</t>
        </is>
      </c>
      <c r="F13" s="4" t="inlineStr">
        <is>
          <t>Lukas Meyer</t>
        </is>
      </c>
      <c r="G13" s="4" t="inlineStr">
        <is>
          <t>2024-09-30</t>
        </is>
      </c>
      <c r="H13" s="4" t="inlineStr">
        <is>
          <t>2024-10-01</t>
        </is>
      </c>
      <c r="I13" s="4" t="inlineStr">
        <is>
          <t>2027-09-30</t>
        </is>
      </c>
      <c r="J13" s="5" t="n">
        <v>2400000</v>
      </c>
      <c r="K13" s="4" t="inlineStr">
        <is>
          <t>Active</t>
        </is>
      </c>
      <c r="L13" s="4" t="n">
        <v>3</v>
      </c>
      <c r="M13" s="4" t="inlineStr"/>
    </row>
    <row r="14">
      <c r="A14" s="2" t="inlineStr">
        <is>
          <t>WE-CON-2024-031</t>
        </is>
      </c>
      <c r="B14" s="2" t="inlineStr">
        <is>
          <t>Weather &amp; Metocean Forecasting Service</t>
        </is>
      </c>
      <c r="C14" s="2" t="inlineStr">
        <is>
          <t>Skagen Metocean ApS</t>
        </is>
      </c>
      <c r="D14" s="2" t="inlineStr">
        <is>
          <t>Services</t>
        </is>
      </c>
      <c r="E14" s="2" t="inlineStr">
        <is>
          <t>Harrow Bay</t>
        </is>
      </c>
      <c r="F14" s="2" t="inlineStr">
        <is>
          <t>Lukas Meyer</t>
        </is>
      </c>
      <c r="G14" s="2" t="inlineStr">
        <is>
          <t>2024-11-05</t>
        </is>
      </c>
      <c r="H14" s="2" t="inlineStr">
        <is>
          <t>2025-01-01</t>
        </is>
      </c>
      <c r="I14" s="2" t="inlineStr">
        <is>
          <t>2028-12-31</t>
        </is>
      </c>
      <c r="J14" s="3" t="n">
        <v>410000</v>
      </c>
      <c r="K14" s="2" t="inlineStr">
        <is>
          <t>Active</t>
        </is>
      </c>
      <c r="L14" s="2" t="n">
        <v>3</v>
      </c>
      <c r="M14" s="2" t="inlineStr"/>
    </row>
    <row r="15">
      <c r="A15" s="4" t="inlineStr">
        <is>
          <t>WE-CON-2024-034</t>
        </is>
      </c>
      <c r="B15" s="4" t="inlineStr">
        <is>
          <t>Geotechnical Site Investigation Harrow Bay</t>
        </is>
      </c>
      <c r="C15" s="4" t="inlineStr">
        <is>
          <t>Northsea Geo Surveys Ltd</t>
        </is>
      </c>
      <c r="D15" s="4" t="inlineStr">
        <is>
          <t>Services</t>
        </is>
      </c>
      <c r="E15" s="4" t="inlineStr">
        <is>
          <t>Harrow Bay</t>
        </is>
      </c>
      <c r="F15" s="4" t="inlineStr">
        <is>
          <t>Lukas Meyer</t>
        </is>
      </c>
      <c r="G15" s="4" t="inlineStr">
        <is>
          <t>2024-02-12</t>
        </is>
      </c>
      <c r="H15" s="4" t="inlineStr">
        <is>
          <t>2024-03-01</t>
        </is>
      </c>
      <c r="I15" s="4" t="inlineStr">
        <is>
          <t>2024-11-30</t>
        </is>
      </c>
      <c r="J15" s="5" t="n">
        <v>7350000</v>
      </c>
      <c r="K15" s="4" t="inlineStr">
        <is>
          <t>Completed</t>
        </is>
      </c>
      <c r="L15" s="4" t="inlineStr"/>
      <c r="M15" s="4" t="inlineStr"/>
    </row>
    <row r="16">
      <c r="A16" s="2" t="inlineStr">
        <is>
          <t>WE-CON-2025-003</t>
        </is>
      </c>
      <c r="B16" s="2" t="inlineStr">
        <is>
          <t>UXO Survey and Clearance Harrow Bay</t>
        </is>
      </c>
      <c r="C16" s="2" t="inlineStr">
        <is>
          <t>Brightline Marine Clearance Ltd</t>
        </is>
      </c>
      <c r="D16" s="2" t="inlineStr">
        <is>
          <t>Services</t>
        </is>
      </c>
      <c r="E16" s="2" t="inlineStr">
        <is>
          <t>Harrow Bay</t>
        </is>
      </c>
      <c r="F16" s="2" t="inlineStr">
        <is>
          <t>Lukas Meyer</t>
        </is>
      </c>
      <c r="G16" s="2" t="inlineStr">
        <is>
          <t>2025-01-22</t>
        </is>
      </c>
      <c r="H16" s="2" t="inlineStr">
        <is>
          <t>2025-03-01</t>
        </is>
      </c>
      <c r="I16" s="2" t="inlineStr">
        <is>
          <t>2026-03-31</t>
        </is>
      </c>
      <c r="J16" s="3" t="n">
        <v>5900000</v>
      </c>
      <c r="K16" s="2" t="inlineStr">
        <is>
          <t>Completed</t>
        </is>
      </c>
      <c r="L16" s="2" t="inlineStr"/>
      <c r="M16" s="2" t="inlineStr"/>
    </row>
    <row r="17">
      <c r="A17" s="4" t="inlineStr">
        <is>
          <t>WE-CON-2025-009</t>
        </is>
      </c>
      <c r="B17" s="4" t="inlineStr">
        <is>
          <t>Travel Management Services</t>
        </is>
      </c>
      <c r="C17" s="4" t="inlineStr">
        <is>
          <t>Hansa Business Travel GmbH</t>
        </is>
      </c>
      <c r="D17" s="4" t="inlineStr">
        <is>
          <t>Services</t>
        </is>
      </c>
      <c r="E17" s="4" t="inlineStr">
        <is>
          <t>Corporate</t>
        </is>
      </c>
      <c r="F17" s="4" t="inlineStr">
        <is>
          <t>Emma Wilson</t>
        </is>
      </c>
      <c r="G17" s="4" t="inlineStr">
        <is>
          <t>2025-02-14</t>
        </is>
      </c>
      <c r="H17" s="4" t="inlineStr">
        <is>
          <t>2025-03-01</t>
        </is>
      </c>
      <c r="I17" s="4" t="inlineStr">
        <is>
          <t>2027-02-28</t>
        </is>
      </c>
      <c r="J17" s="5" t="n">
        <v>180000</v>
      </c>
      <c r="K17" s="4" t="inlineStr">
        <is>
          <t>Active</t>
        </is>
      </c>
      <c r="L17" s="4" t="n">
        <v>3</v>
      </c>
      <c r="M17" s="4" t="inlineStr"/>
    </row>
    <row r="18">
      <c r="A18" s="2" t="inlineStr">
        <is>
          <t>WE-CON-2025-014</t>
        </is>
      </c>
      <c r="B18" s="2" t="inlineStr">
        <is>
          <t>Company Car Leasing Framework</t>
        </is>
      </c>
      <c r="C18" s="2" t="inlineStr">
        <is>
          <t>Elbe Fleet Leasing GmbH</t>
        </is>
      </c>
      <c r="D18" s="2" t="inlineStr">
        <is>
          <t>Framework</t>
        </is>
      </c>
      <c r="E18" s="2" t="inlineStr">
        <is>
          <t>Corporate</t>
        </is>
      </c>
      <c r="F18" s="2" t="inlineStr">
        <is>
          <t>Emma Wilson</t>
        </is>
      </c>
      <c r="G18" s="2" t="inlineStr">
        <is>
          <t>2025-03-20</t>
        </is>
      </c>
      <c r="H18" s="2" t="inlineStr">
        <is>
          <t>2025-04-01</t>
        </is>
      </c>
      <c r="I18" s="2" t="inlineStr">
        <is>
          <t>2028-03-31</t>
        </is>
      </c>
      <c r="J18" s="3" t="n">
        <v>1150000</v>
      </c>
      <c r="K18" s="2" t="inlineStr">
        <is>
          <t>Active</t>
        </is>
      </c>
      <c r="L18" s="2" t="n">
        <v>3</v>
      </c>
      <c r="M18" s="2" t="inlineStr"/>
    </row>
    <row r="19">
      <c r="A19" s="4" t="inlineStr">
        <is>
          <t>WE-CON-2025-022</t>
        </is>
      </c>
      <c r="B19" s="4" t="inlineStr">
        <is>
          <t>Turbine Supply Agreement Harrow Bay (40 × HTS-12)</t>
        </is>
      </c>
      <c r="C19" s="4" t="inlineStr">
        <is>
          <t>Halden Turbine Systems A/S</t>
        </is>
      </c>
      <c r="D19" s="4" t="inlineStr">
        <is>
          <t>Supply</t>
        </is>
      </c>
      <c r="E19" s="4" t="inlineStr">
        <is>
          <t>Harrow Bay</t>
        </is>
      </c>
      <c r="F19" s="4" t="inlineStr">
        <is>
          <t>Priya Nair</t>
        </is>
      </c>
      <c r="G19" s="4" t="inlineStr">
        <is>
          <t>2025-06-30</t>
        </is>
      </c>
      <c r="H19" s="4" t="inlineStr">
        <is>
          <t>2025-06-30</t>
        </is>
      </c>
      <c r="I19" s="4" t="inlineStr">
        <is>
          <t>2028-12-31</t>
        </is>
      </c>
      <c r="J19" s="5" t="n">
        <v>575000000</v>
      </c>
      <c r="K19" s="4" t="inlineStr">
        <is>
          <t>Active</t>
        </is>
      </c>
      <c r="L19" s="4" t="inlineStr"/>
      <c r="M19" s="4" t="inlineStr">
        <is>
          <t>Parent company guarantee Halden Holding; 10 % performance bond</t>
        </is>
      </c>
    </row>
    <row r="20">
      <c r="A20" s="2" t="inlineStr">
        <is>
          <t>WE-CON-2025-023</t>
        </is>
      </c>
      <c r="B20" s="2" t="inlineStr">
        <is>
          <t>Service &amp; Availability Agreement Harrow Bay (15 yrs)</t>
        </is>
      </c>
      <c r="C20" s="2" t="inlineStr">
        <is>
          <t>Halden Turbine Systems A/S</t>
        </is>
      </c>
      <c r="D20" s="2" t="inlineStr">
        <is>
          <t>O&amp;M</t>
        </is>
      </c>
      <c r="E20" s="2" t="inlineStr">
        <is>
          <t>Harrow Bay</t>
        </is>
      </c>
      <c r="F20" s="2" t="inlineStr">
        <is>
          <t>Priya Nair</t>
        </is>
      </c>
      <c r="G20" s="2" t="inlineStr">
        <is>
          <t>2025-06-30</t>
        </is>
      </c>
      <c r="H20" s="2" t="inlineStr">
        <is>
          <t>2028-06-30</t>
        </is>
      </c>
      <c r="I20" s="2" t="inlineStr">
        <is>
          <t>2043-06-29</t>
        </is>
      </c>
      <c r="J20" s="3" t="n">
        <v>312000000</v>
      </c>
      <c r="K20" s="2" t="inlineStr">
        <is>
          <t>Signed – not started</t>
        </is>
      </c>
      <c r="L20" s="2" t="n">
        <v>24</v>
      </c>
      <c r="M20" s="2" t="inlineStr"/>
    </row>
    <row r="21">
      <c r="A21" s="4" t="inlineStr">
        <is>
          <t>WE-CON-2025-027</t>
        </is>
      </c>
      <c r="B21" s="4" t="inlineStr">
        <is>
          <t>Monopile &amp; Transition Piece Supply</t>
        </is>
      </c>
      <c r="C21" s="4" t="inlineStr">
        <is>
          <t>Rhenus Steelworks Foundations GmbH</t>
        </is>
      </c>
      <c r="D21" s="4" t="inlineStr">
        <is>
          <t>Supply</t>
        </is>
      </c>
      <c r="E21" s="4" t="inlineStr">
        <is>
          <t>Harrow Bay</t>
        </is>
      </c>
      <c r="F21" s="4" t="inlineStr">
        <is>
          <t>Lukas Meyer</t>
        </is>
      </c>
      <c r="G21" s="4" t="inlineStr">
        <is>
          <t>2025-08-14</t>
        </is>
      </c>
      <c r="H21" s="4" t="inlineStr">
        <is>
          <t>2025-08-14</t>
        </is>
      </c>
      <c r="I21" s="4" t="inlineStr">
        <is>
          <t>2027-06-30</t>
        </is>
      </c>
      <c r="J21" s="5" t="n">
        <v>268000000</v>
      </c>
      <c r="K21" s="4" t="inlineStr">
        <is>
          <t>Active</t>
        </is>
      </c>
      <c r="L21" s="4" t="inlineStr"/>
      <c r="M21" s="4" t="inlineStr"/>
    </row>
    <row r="22">
      <c r="A22" s="2" t="inlineStr">
        <is>
          <t>WE-CON-2025-031</t>
        </is>
      </c>
      <c r="B22" s="2" t="inlineStr">
        <is>
          <t>Export &amp; Array Cable Supply and Installation</t>
        </is>
      </c>
      <c r="C22" s="2" t="inlineStr">
        <is>
          <t>Severn Subsea Cables Ltd</t>
        </is>
      </c>
      <c r="D22" s="2" t="inlineStr">
        <is>
          <t>Supply &amp; install</t>
        </is>
      </c>
      <c r="E22" s="2" t="inlineStr">
        <is>
          <t>Harrow Bay</t>
        </is>
      </c>
      <c r="F22" s="2" t="inlineStr">
        <is>
          <t>Priya Nair</t>
        </is>
      </c>
      <c r="G22" s="2" t="inlineStr">
        <is>
          <t>2025-09-25</t>
        </is>
      </c>
      <c r="H22" s="2" t="inlineStr">
        <is>
          <t>2025-09-25</t>
        </is>
      </c>
      <c r="I22" s="2" t="inlineStr">
        <is>
          <t>2027-12-31</t>
        </is>
      </c>
      <c r="J22" s="3" t="n">
        <v>232000000</v>
      </c>
      <c r="K22" s="2" t="inlineStr">
        <is>
          <t>Active – claim notified</t>
        </is>
      </c>
      <c r="L22" s="2" t="inlineStr"/>
      <c r="M22" s="2" t="inlineStr">
        <is>
          <t>Delay notice re export cable 2 (HB-RISK-017) served 2026-07-28; LD claim reserved</t>
        </is>
      </c>
    </row>
    <row r="23">
      <c r="A23" s="4" t="inlineStr">
        <is>
          <t>WE-CON-2025-036</t>
        </is>
      </c>
      <c r="B23" s="4" t="inlineStr">
        <is>
          <t>Port Services Agreement Port of Eastholm</t>
        </is>
      </c>
      <c r="C23" s="4" t="inlineStr">
        <is>
          <t>Port of Eastholm Authority</t>
        </is>
      </c>
      <c r="D23" s="4" t="inlineStr">
        <is>
          <t>Services</t>
        </is>
      </c>
      <c r="E23" s="4" t="inlineStr">
        <is>
          <t>Harrow Bay</t>
        </is>
      </c>
      <c r="F23" s="4" t="inlineStr">
        <is>
          <t>Lukas Meyer</t>
        </is>
      </c>
      <c r="G23" s="4" t="inlineStr">
        <is>
          <t>2025-10-08</t>
        </is>
      </c>
      <c r="H23" s="4" t="inlineStr">
        <is>
          <t>2026-01-01</t>
        </is>
      </c>
      <c r="I23" s="4" t="inlineStr">
        <is>
          <t>2030-12-31</t>
        </is>
      </c>
      <c r="J23" s="5" t="n">
        <v>14600000</v>
      </c>
      <c r="K23" s="4" t="inlineStr">
        <is>
          <t>Active</t>
        </is>
      </c>
      <c r="L23" s="4" t="n">
        <v>12</v>
      </c>
      <c r="M23" s="4" t="inlineStr"/>
    </row>
    <row r="24">
      <c r="A24" s="2" t="inlineStr">
        <is>
          <t>WE-CON-2025-040</t>
        </is>
      </c>
      <c r="B24" s="2" t="inlineStr">
        <is>
          <t>Time Charter MV Sea Atlas (jack-up)</t>
        </is>
      </c>
      <c r="C24" s="2" t="inlineStr">
        <is>
          <t>Atlas Marine Contractors</t>
        </is>
      </c>
      <c r="D24" s="2" t="inlineStr">
        <is>
          <t>Charter</t>
        </is>
      </c>
      <c r="E24" s="2" t="inlineStr">
        <is>
          <t>Harrow Bay</t>
        </is>
      </c>
      <c r="F24" s="2" t="inlineStr">
        <is>
          <t>Lukas Meyer</t>
        </is>
      </c>
      <c r="G24" s="2" t="inlineStr">
        <is>
          <t>2025-12-03</t>
        </is>
      </c>
      <c r="H24" s="2" t="inlineStr">
        <is>
          <t>2026-03-15</t>
        </is>
      </c>
      <c r="I24" s="2" t="inlineStr">
        <is>
          <t>2027-10-31</t>
        </is>
      </c>
      <c r="J24" s="3" t="n">
        <v>88000000</v>
      </c>
      <c r="K24" s="2" t="inlineStr">
        <is>
          <t>Active</t>
        </is>
      </c>
      <c r="L24" s="2" t="inlineStr"/>
      <c r="M24" s="2" t="inlineStr"/>
    </row>
    <row r="25">
      <c r="A25" s="4" t="inlineStr">
        <is>
          <t>WE-CON-2025-042</t>
        </is>
      </c>
      <c r="B25" s="4" t="inlineStr">
        <is>
          <t>Crew Transfer Vessel Charter (2 CTVs)</t>
        </is>
      </c>
      <c r="C25" s="4" t="inlineStr">
        <is>
          <t>Eastholm Workboats Ltd</t>
        </is>
      </c>
      <c r="D25" s="4" t="inlineStr">
        <is>
          <t>Charter</t>
        </is>
      </c>
      <c r="E25" s="4" t="inlineStr">
        <is>
          <t>Harrow Bay</t>
        </is>
      </c>
      <c r="F25" s="4" t="inlineStr">
        <is>
          <t>Lukas Meyer</t>
        </is>
      </c>
      <c r="G25" s="4" t="inlineStr">
        <is>
          <t>2025-12-10</t>
        </is>
      </c>
      <c r="H25" s="4" t="inlineStr">
        <is>
          <t>2026-03-01</t>
        </is>
      </c>
      <c r="I25" s="4" t="inlineStr">
        <is>
          <t>2027-02-28</t>
        </is>
      </c>
      <c r="J25" s="5" t="n">
        <v>4300000</v>
      </c>
      <c r="K25" s="4" t="inlineStr">
        <is>
          <t>Active</t>
        </is>
      </c>
      <c r="L25" s="4" t="n">
        <v>3</v>
      </c>
      <c r="M25" s="4" t="inlineStr"/>
    </row>
    <row r="26">
      <c r="A26" s="2" t="inlineStr">
        <is>
          <t>WE-CON-2025-044</t>
        </is>
      </c>
      <c r="B26" s="2" t="inlineStr">
        <is>
          <t>Onshore Substation &amp; Grid Works Harrow Bay East</t>
        </is>
      </c>
      <c r="C26" s="2" t="inlineStr">
        <is>
          <t>Harrow Bay Civil Contractors Ltd</t>
        </is>
      </c>
      <c r="D26" s="2" t="inlineStr">
        <is>
          <t>EPC</t>
        </is>
      </c>
      <c r="E26" s="2" t="inlineStr">
        <is>
          <t>Harrow Bay</t>
        </is>
      </c>
      <c r="F26" s="2" t="inlineStr">
        <is>
          <t>Lukas Meyer</t>
        </is>
      </c>
      <c r="G26" s="2" t="inlineStr">
        <is>
          <t>2025-12-15</t>
        </is>
      </c>
      <c r="H26" s="2" t="inlineStr">
        <is>
          <t>2026-01-05</t>
        </is>
      </c>
      <c r="I26" s="2" t="inlineStr">
        <is>
          <t>2027-12-31</t>
        </is>
      </c>
      <c r="J26" s="3" t="n">
        <v>61000000</v>
      </c>
      <c r="K26" s="2" t="inlineStr">
        <is>
          <t>Active</t>
        </is>
      </c>
      <c r="L26" s="2" t="inlineStr"/>
      <c r="M26" s="2" t="inlineStr"/>
    </row>
    <row r="27">
      <c r="A27" s="4" t="inlineStr">
        <is>
          <t>WE-CON-2025-045</t>
        </is>
      </c>
      <c r="B27" s="4" t="inlineStr">
        <is>
          <t>Land Lease Millbrook (Hollins Farm)</t>
        </is>
      </c>
      <c r="C27" s="4" t="inlineStr">
        <is>
          <t>Hollins Family Farms LLP</t>
        </is>
      </c>
      <c r="D27" s="4" t="inlineStr">
        <is>
          <t>Land lease</t>
        </is>
      </c>
      <c r="E27" s="4" t="inlineStr">
        <is>
          <t>Millbrook</t>
        </is>
      </c>
      <c r="F27" s="4" t="inlineStr">
        <is>
          <t>Lukas Meyer</t>
        </is>
      </c>
      <c r="G27" s="4" t="inlineStr">
        <is>
          <t>2025-11-18</t>
        </is>
      </c>
      <c r="H27" s="4" t="inlineStr">
        <is>
          <t>2025-11-18</t>
        </is>
      </c>
      <c r="I27" s="4" t="inlineStr">
        <is>
          <t>2066-11-17</t>
        </is>
      </c>
      <c r="J27" s="5" t="n">
        <v>7800000</v>
      </c>
      <c r="K27" s="4" t="inlineStr">
        <is>
          <t>Active</t>
        </is>
      </c>
      <c r="L27" s="4" t="inlineStr"/>
      <c r="M27" s="4" t="inlineStr"/>
    </row>
    <row r="28">
      <c r="A28" s="2" t="inlineStr">
        <is>
          <t>WE-CON-2025-048</t>
        </is>
      </c>
      <c r="B28" s="2" t="inlineStr">
        <is>
          <t>Construction All Risks Insurance Harrow Bay</t>
        </is>
      </c>
      <c r="C28" s="2" t="inlineStr">
        <is>
          <t>Nordmark Specialty Insurance SE (lead)</t>
        </is>
      </c>
      <c r="D28" s="2" t="inlineStr">
        <is>
          <t>Insurance</t>
        </is>
      </c>
      <c r="E28" s="2" t="inlineStr">
        <is>
          <t>Harrow Bay</t>
        </is>
      </c>
      <c r="F28" s="2" t="inlineStr">
        <is>
          <t>Priya Nair</t>
        </is>
      </c>
      <c r="G28" s="2" t="inlineStr">
        <is>
          <t>2026-02-10</t>
        </is>
      </c>
      <c r="H28" s="2" t="inlineStr">
        <is>
          <t>2026-02-12</t>
        </is>
      </c>
      <c r="I28" s="2" t="inlineStr">
        <is>
          <t>2028-12-31</t>
        </is>
      </c>
      <c r="J28" s="3" t="n">
        <v>21500000</v>
      </c>
      <c r="K28" s="2" t="inlineStr">
        <is>
          <t>Active</t>
        </is>
      </c>
      <c r="L28" s="2" t="inlineStr"/>
      <c r="M28" s="2" t="inlineStr"/>
    </row>
    <row r="29">
      <c r="A29" s="4" t="inlineStr">
        <is>
          <t>WE-CON-2026-003</t>
        </is>
      </c>
      <c r="B29" s="4" t="inlineStr">
        <is>
          <t>Senior Facilities Agreement Harrow Bay (EUR 1.1 bn)</t>
        </is>
      </c>
      <c r="C29" s="4" t="inlineStr">
        <is>
          <t>Hanseatic Infrastructure Bank (agent)</t>
        </is>
      </c>
      <c r="D29" s="4" t="inlineStr">
        <is>
          <t>Financing</t>
        </is>
      </c>
      <c r="E29" s="4" t="inlineStr">
        <is>
          <t>Harrow Bay</t>
        </is>
      </c>
      <c r="F29" s="4" t="inlineStr">
        <is>
          <t>Priya Nair</t>
        </is>
      </c>
      <c r="G29" s="4" t="inlineStr">
        <is>
          <t>2026-02-12</t>
        </is>
      </c>
      <c r="H29" s="4" t="inlineStr">
        <is>
          <t>2026-02-12</t>
        </is>
      </c>
      <c r="I29" s="4" t="inlineStr">
        <is>
          <t>2044-12-31</t>
        </is>
      </c>
      <c r="J29" s="5" t="n">
        <v>1100000000</v>
      </c>
      <c r="K29" s="4" t="inlineStr">
        <is>
          <t>Active</t>
        </is>
      </c>
      <c r="L29" s="4" t="inlineStr"/>
      <c r="M29" s="4" t="inlineStr">
        <is>
          <t>Lender consent required for material project contract amendments</t>
        </is>
      </c>
    </row>
    <row r="30">
      <c r="A30" s="2" t="inlineStr">
        <is>
          <t>WE-CON-2026-005</t>
        </is>
      </c>
      <c r="B30" s="2" t="inlineStr">
        <is>
          <t>Interest Rate Hedging ISDA Schedule</t>
        </is>
      </c>
      <c r="C30" s="2" t="inlineStr">
        <is>
          <t>Hanseatic Infrastructure Bank</t>
        </is>
      </c>
      <c r="D30" s="2" t="inlineStr">
        <is>
          <t>Financing</t>
        </is>
      </c>
      <c r="E30" s="2" t="inlineStr">
        <is>
          <t>Harrow Bay</t>
        </is>
      </c>
      <c r="F30" s="2" t="inlineStr">
        <is>
          <t>Daniel Park</t>
        </is>
      </c>
      <c r="G30" s="2" t="inlineStr">
        <is>
          <t>2026-02-12</t>
        </is>
      </c>
      <c r="H30" s="2" t="inlineStr">
        <is>
          <t>2026-02-12</t>
        </is>
      </c>
      <c r="I30" s="2" t="inlineStr">
        <is>
          <t>2044-12-31</t>
        </is>
      </c>
      <c r="J30" s="3" t="n">
        <v>0</v>
      </c>
      <c r="K30" s="2" t="inlineStr">
        <is>
          <t>Active</t>
        </is>
      </c>
      <c r="L30" s="2" t="inlineStr"/>
      <c r="M30" s="2" t="inlineStr"/>
    </row>
    <row r="31">
      <c r="A31" s="4" t="inlineStr">
        <is>
          <t>WE-CON-2026-008</t>
        </is>
      </c>
      <c r="B31" s="4" t="inlineStr">
        <is>
          <t>Lender's Technical Adviser Engagement</t>
        </is>
      </c>
      <c r="C31" s="4" t="inlineStr">
        <is>
          <t>Strandberg Technical Advisory</t>
        </is>
      </c>
      <c r="D31" s="4" t="inlineStr">
        <is>
          <t>Professional services</t>
        </is>
      </c>
      <c r="E31" s="4" t="inlineStr">
        <is>
          <t>Harrow Bay</t>
        </is>
      </c>
      <c r="F31" s="4" t="inlineStr">
        <is>
          <t>Lukas Meyer</t>
        </is>
      </c>
      <c r="G31" s="4" t="inlineStr">
        <is>
          <t>2026-01-15</t>
        </is>
      </c>
      <c r="H31" s="4" t="inlineStr">
        <is>
          <t>2026-01-15</t>
        </is>
      </c>
      <c r="I31" s="4" t="inlineStr">
        <is>
          <t>2028-09-30</t>
        </is>
      </c>
      <c r="J31" s="5" t="n">
        <v>1650000</v>
      </c>
      <c r="K31" s="4" t="inlineStr">
        <is>
          <t>Active</t>
        </is>
      </c>
      <c r="L31" s="4" t="inlineStr"/>
      <c r="M31" s="4" t="inlineStr"/>
    </row>
    <row r="32">
      <c r="A32" s="2" t="inlineStr">
        <is>
          <t>WE-CON-2026-012</t>
        </is>
      </c>
      <c r="B32" s="2" t="inlineStr">
        <is>
          <t>Land Option Agreement Fenwick</t>
        </is>
      </c>
      <c r="C32" s="2" t="inlineStr">
        <is>
          <t>Hallam Farms Partnership</t>
        </is>
      </c>
      <c r="D32" s="2" t="inlineStr">
        <is>
          <t>Land option</t>
        </is>
      </c>
      <c r="E32" s="2" t="inlineStr">
        <is>
          <t>Fenwick</t>
        </is>
      </c>
      <c r="F32" s="2" t="inlineStr">
        <is>
          <t>Lukas Meyer</t>
        </is>
      </c>
      <c r="G32" s="2" t="inlineStr">
        <is>
          <t>2026-04-30</t>
        </is>
      </c>
      <c r="H32" s="2" t="inlineStr">
        <is>
          <t>2026-04-30</t>
        </is>
      </c>
      <c r="I32" s="2" t="inlineStr">
        <is>
          <t>2029-04-29</t>
        </is>
      </c>
      <c r="J32" s="3" t="n">
        <v>240000</v>
      </c>
      <c r="K32" s="2" t="inlineStr">
        <is>
          <t>Active</t>
        </is>
      </c>
      <c r="L32" s="2" t="inlineStr"/>
      <c r="M32" s="2" t="inlineStr"/>
    </row>
    <row r="33">
      <c r="A33" s="4" t="inlineStr">
        <is>
          <t>WE-CON-2026-016</t>
        </is>
      </c>
      <c r="B33" s="4" t="inlineStr">
        <is>
          <t>Marine Warranty Survey Services</t>
        </is>
      </c>
      <c r="C33" s="4" t="inlineStr">
        <is>
          <t>Tidewater Assurance Ltd</t>
        </is>
      </c>
      <c r="D33" s="4" t="inlineStr">
        <is>
          <t>Services</t>
        </is>
      </c>
      <c r="E33" s="4" t="inlineStr">
        <is>
          <t>Harrow Bay</t>
        </is>
      </c>
      <c r="F33" s="4" t="inlineStr">
        <is>
          <t>Lukas Meyer</t>
        </is>
      </c>
      <c r="G33" s="4" t="inlineStr">
        <is>
          <t>2026-02-27</t>
        </is>
      </c>
      <c r="H33" s="4" t="inlineStr">
        <is>
          <t>2026-03-01</t>
        </is>
      </c>
      <c r="I33" s="4" t="inlineStr">
        <is>
          <t>2028-06-30</t>
        </is>
      </c>
      <c r="J33" s="5" t="n">
        <v>2700000</v>
      </c>
      <c r="K33" s="4" t="inlineStr">
        <is>
          <t>Active</t>
        </is>
      </c>
      <c r="L33" s="4" t="inlineStr"/>
      <c r="M33" s="4" t="inlineStr"/>
    </row>
    <row r="34">
      <c r="A34" s="2" t="inlineStr">
        <is>
          <t>WE-CON-2026-018</t>
        </is>
      </c>
      <c r="B34" s="2" t="inlineStr">
        <is>
          <t>Exclusivity &amp; Early Works Agreement Millbrook EPC</t>
        </is>
      </c>
      <c r="C34" s="2" t="inlineStr">
        <is>
          <t>SunForge EPC Ltd</t>
        </is>
      </c>
      <c r="D34" s="2" t="inlineStr">
        <is>
          <t>Pre-contract</t>
        </is>
      </c>
      <c r="E34" s="2" t="inlineStr">
        <is>
          <t>Millbrook</t>
        </is>
      </c>
      <c r="F34" s="2" t="inlineStr">
        <is>
          <t>Lukas Meyer</t>
        </is>
      </c>
      <c r="G34" s="2" t="inlineStr">
        <is>
          <t>2026-05-06</t>
        </is>
      </c>
      <c r="H34" s="2" t="inlineStr">
        <is>
          <t>2026-05-06</t>
        </is>
      </c>
      <c r="I34" s="2" t="inlineStr">
        <is>
          <t>2027-06-30</t>
        </is>
      </c>
      <c r="J34" s="3" t="n">
        <v>350000</v>
      </c>
      <c r="K34" s="2" t="inlineStr">
        <is>
          <t>Active</t>
        </is>
      </c>
      <c r="L34" s="2" t="inlineStr"/>
      <c r="M34" s="2" t="inlineStr"/>
    </row>
    <row r="35">
      <c r="A35" s="4" t="inlineStr">
        <is>
          <t>WE-CON-2026-021</t>
        </is>
      </c>
      <c r="B35" s="4" t="inlineStr">
        <is>
          <t>Joint Development Agreement Green Hydrogen Pilot</t>
        </is>
      </c>
      <c r="C35" s="4" t="inlineStr">
        <is>
          <t>Arcturus Steel AG</t>
        </is>
      </c>
      <c r="D35" s="4" t="inlineStr">
        <is>
          <t>Collaboration</t>
        </is>
      </c>
      <c r="E35" s="4" t="inlineStr">
        <is>
          <t>Hydrogen</t>
        </is>
      </c>
      <c r="F35" s="4" t="inlineStr">
        <is>
          <t>Priya Nair</t>
        </is>
      </c>
      <c r="G35" s="4" t="inlineStr">
        <is>
          <t>2026-03-19</t>
        </is>
      </c>
      <c r="H35" s="4" t="inlineStr">
        <is>
          <t>2026-03-19</t>
        </is>
      </c>
      <c r="I35" s="4" t="inlineStr">
        <is>
          <t>2027-12-31</t>
        </is>
      </c>
      <c r="J35" s="5" t="n">
        <v>0</v>
      </c>
      <c r="K35" s="4" t="inlineStr">
        <is>
          <t>Active</t>
        </is>
      </c>
      <c r="L35" s="4" t="inlineStr"/>
      <c r="M35" s="4" t="inlineStr"/>
    </row>
    <row r="36">
      <c r="A36" s="2" t="inlineStr">
        <is>
          <t>WE-CON-2026-024</t>
        </is>
      </c>
      <c r="B36" s="2" t="inlineStr">
        <is>
          <t>Bubble Curtain Noise Mitigation Services</t>
        </is>
      </c>
      <c r="C36" s="2" t="inlineStr">
        <is>
          <t>Hydrosound Marine GmbH</t>
        </is>
      </c>
      <c r="D36" s="2" t="inlineStr">
        <is>
          <t>Services</t>
        </is>
      </c>
      <c r="E36" s="2" t="inlineStr">
        <is>
          <t>Harrow Bay</t>
        </is>
      </c>
      <c r="F36" s="2" t="inlineStr">
        <is>
          <t>Lukas Meyer</t>
        </is>
      </c>
      <c r="G36" s="2" t="inlineStr">
        <is>
          <t>2026-03-09</t>
        </is>
      </c>
      <c r="H36" s="2" t="inlineStr">
        <is>
          <t>2026-04-01</t>
        </is>
      </c>
      <c r="I36" s="2" t="inlineStr">
        <is>
          <t>2027-06-30</t>
        </is>
      </c>
      <c r="J36" s="3" t="n">
        <v>9200000</v>
      </c>
      <c r="K36" s="2" t="inlineStr">
        <is>
          <t>Active</t>
        </is>
      </c>
      <c r="L36" s="2" t="inlineStr"/>
      <c r="M36" s="2" t="inlineStr"/>
    </row>
    <row r="37">
      <c r="A37" s="4" t="inlineStr">
        <is>
          <t>WE-CON-2026-033</t>
        </is>
      </c>
      <c r="B37" s="4" t="inlineStr">
        <is>
          <t>Helicopter Emergency Response Services</t>
        </is>
      </c>
      <c r="C37" s="4" t="inlineStr">
        <is>
          <t>North Sea Rotor Services Ltd</t>
        </is>
      </c>
      <c r="D37" s="4" t="inlineStr">
        <is>
          <t>Services</t>
        </is>
      </c>
      <c r="E37" s="4" t="inlineStr">
        <is>
          <t>Harrow Bay</t>
        </is>
      </c>
      <c r="F37" s="4" t="inlineStr">
        <is>
          <t>Lukas Meyer</t>
        </is>
      </c>
      <c r="G37" s="4" t="inlineStr">
        <is>
          <t>2026-04-22</t>
        </is>
      </c>
      <c r="H37" s="4" t="inlineStr">
        <is>
          <t>2026-05-01</t>
        </is>
      </c>
      <c r="I37" s="4" t="inlineStr">
        <is>
          <t>2028-04-30</t>
        </is>
      </c>
      <c r="J37" s="5" t="n">
        <v>3100000</v>
      </c>
      <c r="K37" s="4" t="inlineStr">
        <is>
          <t>Active</t>
        </is>
      </c>
      <c r="L37" s="4" t="n">
        <v>6</v>
      </c>
      <c r="M37" s="4" t="inlineStr"/>
    </row>
    <row r="38">
      <c r="A38" s="2" t="inlineStr">
        <is>
          <t>WE-CON-2026-035</t>
        </is>
      </c>
      <c r="B38" s="2" t="inlineStr">
        <is>
          <t>Recruitment Agency Framework (technical roles)</t>
        </is>
      </c>
      <c r="C38" s="2" t="inlineStr">
        <is>
          <t>Talentwind Recruitment Ltd</t>
        </is>
      </c>
      <c r="D38" s="2" t="inlineStr">
        <is>
          <t>Framework</t>
        </is>
      </c>
      <c r="E38" s="2" t="inlineStr">
        <is>
          <t>HR &amp; People</t>
        </is>
      </c>
      <c r="F38" s="2" t="inlineStr">
        <is>
          <t>Emma Wilson</t>
        </is>
      </c>
      <c r="G38" s="2" t="inlineStr">
        <is>
          <t>2026-06-11</t>
        </is>
      </c>
      <c r="H38" s="2" t="inlineStr">
        <is>
          <t>2026-07-01</t>
        </is>
      </c>
      <c r="I38" s="2" t="inlineStr">
        <is>
          <t>2027-06-30</t>
        </is>
      </c>
      <c r="J38" s="3" t="n">
        <v>220000</v>
      </c>
      <c r="K38" s="2" t="inlineStr">
        <is>
          <t>Active</t>
        </is>
      </c>
      <c r="L38" s="2" t="n">
        <v>1</v>
      </c>
      <c r="M38" s="2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>
        <is>
          <t>Total</t>
        </is>
      </c>
      <c r="J39" s="5">
        <f>SUM(J2:J38)</f>
        <v/>
      </c>
      <c r="K39" s="4" t="inlineStr"/>
      <c r="L39" s="4" t="inlineStr"/>
      <c r="M39" s="4" t="inlineStr"/>
    </row>
  </sheetData>
  <autoFilter ref="A1:M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34" customWidth="1" min="4" max="4"/>
    <col width="22" customWidth="1" min="5" max="5"/>
    <col width="11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PPA ID</t>
        </is>
      </c>
      <c r="B1" s="1" t="inlineStr">
        <is>
          <t>Offtaker</t>
        </is>
      </c>
      <c r="C1" s="1" t="inlineStr">
        <is>
          <t>Asset</t>
        </is>
      </c>
      <c r="D1" s="1" t="inlineStr">
        <is>
          <t>Structure</t>
        </is>
      </c>
      <c r="E1" s="1" t="inlineStr">
        <is>
          <t>Volume</t>
        </is>
      </c>
      <c r="F1" s="1" t="inlineStr">
        <is>
          <t>Term</t>
        </is>
      </c>
      <c r="G1" s="1" t="inlineStr">
        <is>
          <t>Signed</t>
        </is>
      </c>
      <c r="H1" s="1" t="inlineStr">
        <is>
          <t>Delivery start</t>
        </is>
      </c>
      <c r="I1" s="1" t="inlineStr">
        <is>
          <t>Status</t>
        </is>
      </c>
    </row>
    <row r="2">
      <c r="A2" s="2" t="inlineStr">
        <is>
          <t>WE-PPA-2026-004</t>
        </is>
      </c>
      <c r="B2" s="2" t="inlineStr">
        <is>
          <t>Arcturus Steel AG</t>
        </is>
      </c>
      <c r="C2" s="2" t="inlineStr">
        <is>
          <t>Harrow Bay Offshore Wind</t>
        </is>
      </c>
      <c r="D2" s="2" t="inlineStr">
        <is>
          <t>Physical, pay-as-produced, fixed price</t>
        </is>
      </c>
      <c r="E2" s="2" t="inlineStr">
        <is>
          <t>150 MW / ~590 GWh p.a.</t>
        </is>
      </c>
      <c r="F2" s="2" t="inlineStr">
        <is>
          <t>15 years</t>
        </is>
      </c>
      <c r="G2" s="2" t="inlineStr">
        <is>
          <t>2026-05-12</t>
        </is>
      </c>
      <c r="H2" s="2" t="inlineStr">
        <is>
          <t>COD (planned 2028-06-30)</t>
        </is>
      </c>
      <c r="I2" s="2" t="inlineStr">
        <is>
          <t>Signed</t>
        </is>
      </c>
    </row>
    <row r="3">
      <c r="A3" s="4" t="inlineStr">
        <is>
          <t>WE-PPA-2023-002</t>
        </is>
      </c>
      <c r="B3" s="4" t="inlineStr">
        <is>
          <t>Hanseatic Municipal Utilities</t>
        </is>
      </c>
      <c r="C3" s="4" t="inlineStr">
        <is>
          <t>Kestrel Ridge Wind Farm</t>
        </is>
      </c>
      <c r="D3" s="4" t="inlineStr">
        <is>
          <t>Physical, baseload-shaped</t>
        </is>
      </c>
      <c r="E3" s="4" t="inlineStr">
        <is>
          <t>50 % of output</t>
        </is>
      </c>
      <c r="F3" s="4" t="inlineStr">
        <is>
          <t>10 years</t>
        </is>
      </c>
      <c r="G3" s="4" t="inlineStr">
        <is>
          <t>2023-08-30</t>
        </is>
      </c>
      <c r="H3" s="4" t="inlineStr">
        <is>
          <t>2024-03-15</t>
        </is>
      </c>
      <c r="I3" s="4" t="inlineStr">
        <is>
          <t>Active</t>
        </is>
      </c>
    </row>
    <row r="4">
      <c r="A4" s="2" t="inlineStr">
        <is>
          <t>WE-PPA-2025-001</t>
        </is>
      </c>
      <c r="B4" s="2" t="inlineStr">
        <is>
          <t>Nordwerk Data Centres GmbH</t>
        </is>
      </c>
      <c r="C4" s="2" t="inlineStr">
        <is>
          <t>Kestrel Ridge Wind Farm</t>
        </is>
      </c>
      <c r="D4" s="2" t="inlineStr">
        <is>
          <t>Virtual (CfD), pay-as-produced</t>
        </is>
      </c>
      <c r="E4" s="2" t="inlineStr">
        <is>
          <t>35 % of output</t>
        </is>
      </c>
      <c r="F4" s="2" t="inlineStr">
        <is>
          <t>7 years</t>
        </is>
      </c>
      <c r="G4" s="2" t="inlineStr">
        <is>
          <t>2025-02-18</t>
        </is>
      </c>
      <c r="H4" s="2" t="inlineStr">
        <is>
          <t>2025-04-01</t>
        </is>
      </c>
      <c r="I4" s="2" t="inlineStr">
        <is>
          <t>Active</t>
        </is>
      </c>
    </row>
    <row r="5">
      <c r="A5" s="4" t="inlineStr">
        <is>
          <t>WE-PPA-2026-007</t>
        </is>
      </c>
      <c r="B5" s="4" t="inlineStr">
        <is>
          <t>Millbrook regional retailer (shortlist)</t>
        </is>
      </c>
      <c r="C5" s="4" t="inlineStr">
        <is>
          <t>Millbrook Solar &amp; Storage</t>
        </is>
      </c>
      <c r="D5" s="4" t="inlineStr">
        <is>
          <t>Under evaluation</t>
        </is>
      </c>
      <c r="E5" s="4" t="inlineStr">
        <is>
          <t>~ 60 GWh p.a.</t>
        </is>
      </c>
      <c r="F5" s="4" t="inlineStr">
        <is>
          <t>10–12 years</t>
        </is>
      </c>
      <c r="G5" s="4" t="inlineStr"/>
      <c r="H5" s="4" t="inlineStr"/>
      <c r="I5" s="4" t="inlineStr">
        <is>
          <t>Indicative offers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1" t="inlineStr">
        <is>
          <t>Project / area</t>
        </is>
      </c>
      <c r="B1" s="1" t="inlineStr">
        <is>
          <t>No. of contracts</t>
        </is>
      </c>
      <c r="C1" s="1" t="inlineStr">
        <is>
          <t>Total value (EUR)</t>
        </is>
      </c>
    </row>
    <row r="2">
      <c r="A2" s="2" t="inlineStr">
        <is>
          <t>Asset Operations</t>
        </is>
      </c>
      <c r="B2" s="2" t="n">
        <v>1</v>
      </c>
      <c r="C2" s="3" t="n">
        <v>640000</v>
      </c>
    </row>
    <row r="3">
      <c r="A3" s="4" t="inlineStr">
        <is>
          <t>Corporate</t>
        </is>
      </c>
      <c r="B3" s="4" t="n">
        <v>6</v>
      </c>
      <c r="C3" s="5" t="n">
        <v>15680000</v>
      </c>
    </row>
    <row r="4">
      <c r="A4" s="2" t="inlineStr">
        <is>
          <t>Fenwick</t>
        </is>
      </c>
      <c r="B4" s="2" t="n">
        <v>2</v>
      </c>
      <c r="C4" s="3" t="n">
        <v>240000</v>
      </c>
    </row>
    <row r="5">
      <c r="A5" s="4" t="inlineStr">
        <is>
          <t>HR &amp; People</t>
        </is>
      </c>
      <c r="B5" s="4" t="n">
        <v>2</v>
      </c>
      <c r="C5" s="5" t="n">
        <v>385000</v>
      </c>
    </row>
    <row r="6">
      <c r="A6" s="2" t="inlineStr">
        <is>
          <t>Harrow Bay</t>
        </is>
      </c>
      <c r="B6" s="2" t="n">
        <v>19</v>
      </c>
      <c r="C6" s="3" t="n">
        <v>2755210000</v>
      </c>
    </row>
    <row r="7">
      <c r="A7" s="4" t="inlineStr">
        <is>
          <t>Harrow Bay / Millbrook</t>
        </is>
      </c>
      <c r="B7" s="4" t="n">
        <v>1</v>
      </c>
      <c r="C7" s="5" t="n">
        <v>2400000</v>
      </c>
    </row>
    <row r="8">
      <c r="A8" s="2" t="inlineStr">
        <is>
          <t>Hydrogen</t>
        </is>
      </c>
      <c r="B8" s="2" t="n">
        <v>1</v>
      </c>
      <c r="C8" s="3" t="n">
        <v>0</v>
      </c>
    </row>
    <row r="9">
      <c r="A9" s="4" t="inlineStr">
        <is>
          <t>IT &amp; Security</t>
        </is>
      </c>
      <c r="B9" s="4" t="n">
        <v>2</v>
      </c>
      <c r="C9" s="5" t="n">
        <v>2976000</v>
      </c>
    </row>
    <row r="10">
      <c r="A10" s="2" t="inlineStr">
        <is>
          <t>Kestrel Ridge</t>
        </is>
      </c>
      <c r="B10" s="2" t="n">
        <v>4</v>
      </c>
      <c r="C10" s="3" t="n">
        <v>91950000</v>
      </c>
    </row>
    <row r="11">
      <c r="A11" s="4" t="inlineStr">
        <is>
          <t>Millbrook</t>
        </is>
      </c>
      <c r="B11" s="4" t="n">
        <v>3</v>
      </c>
      <c r="C11" s="5" t="n">
        <v>8750000</v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</cols>
  <sheetData>
    <row r="1">
      <c r="A1" s="1" t="inlineStr">
        <is>
          <t>Date</t>
        </is>
      </c>
      <c r="B1" s="1" t="inlineStr">
        <is>
          <t>By</t>
        </is>
      </c>
      <c r="C1" s="1" t="inlineStr">
        <is>
          <t>Change</t>
        </is>
      </c>
    </row>
    <row r="2">
      <c r="A2" s="2" t="inlineStr">
        <is>
          <t>2026-02-12</t>
        </is>
      </c>
      <c r="B2" s="2" t="inlineStr">
        <is>
          <t>Emma Wilson</t>
        </is>
      </c>
      <c r="C2" s="2" t="inlineStr">
        <is>
          <t>Added WE-CON-2026-003 and -005 (financial close Harrow Bay)</t>
        </is>
      </c>
    </row>
    <row r="3">
      <c r="A3" s="4" t="inlineStr">
        <is>
          <t>2026-04-30</t>
        </is>
      </c>
      <c r="B3" s="4" t="inlineStr">
        <is>
          <t>Emma Wilson</t>
        </is>
      </c>
      <c r="C3" s="4" t="inlineStr">
        <is>
          <t>Added WE-CON-2026-012 Fenwick land option</t>
        </is>
      </c>
    </row>
    <row r="4">
      <c r="A4" s="2" t="inlineStr">
        <is>
          <t>2026-05-12</t>
        </is>
      </c>
      <c r="B4" s="2" t="inlineStr">
        <is>
          <t>Priya Nair</t>
        </is>
      </c>
      <c r="C4" s="2" t="inlineStr">
        <is>
          <t>Added WE-PPA-2026-004 Arcturus Steel to PPA tab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2026-10-04T19:30:35Z</dcterms:modified>
  <cp:lastModifiedBy>Priya Nair</cp:lastModifiedBy>
</cp:coreProperties>
</file>