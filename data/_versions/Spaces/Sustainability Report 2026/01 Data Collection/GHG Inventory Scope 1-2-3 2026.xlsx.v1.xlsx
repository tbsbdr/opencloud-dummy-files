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pe 1" sheetId="2" state="visible" r:id="rId2"/>
    <sheet xmlns:r="http://schemas.openxmlformats.org/officeDocument/2006/relationships" name="Scope 2" sheetId="3" state="visible" r:id="rId3"/>
    <sheet xmlns:r="http://schemas.openxmlformats.org/officeDocument/2006/relationships" name="Scope 3" sheetId="4" state="visible" r:id="rId4"/>
  </sheets>
  <definedNames>
    <definedName name="_xlnm._FilterDatabase" localSheetId="0" hidden="1">'Summary'!$A$3:$D$9</definedName>
    <definedName name="_xlnm._FilterDatabase" localSheetId="1" hidden="1">'Scope 1'!$A$1:$H$8</definedName>
    <definedName name="_xlnm._FilterDatabase" localSheetId="2" hidden="1">'Scope 2'!$A$1:$I$8</definedName>
    <definedName name="_xlnm._FilterDatabase" localSheetId="3" hidden="1">'Scope 3'!$A$1:$F$12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000"/>
  </numFmts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4" fontId="2" fillId="3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50" customWidth="1" min="4" max="4"/>
  </cols>
  <sheetData>
    <row r="1">
      <c r="A1" s="1" t="inlineStr">
        <is>
          <t>GHG inventory (tCO2e) – draft, operational control</t>
        </is>
      </c>
    </row>
    <row r="3">
      <c r="A3" s="2" t="inlineStr">
        <is>
          <t>Scope</t>
        </is>
      </c>
      <c r="B3" s="2" t="inlineStr">
        <is>
          <t>2025</t>
        </is>
      </c>
      <c r="C3" s="2" t="inlineStr">
        <is>
          <t>2026 YTD (Jan–Aug)</t>
        </is>
      </c>
      <c r="D3" s="2" t="inlineStr">
        <is>
          <t>Comment</t>
        </is>
      </c>
    </row>
    <row r="4">
      <c r="A4" s="3" t="inlineStr">
        <is>
          <t>Scope 1</t>
        </is>
      </c>
      <c r="B4" s="4">
        <f>'Scope 1'!E8</f>
        <v/>
      </c>
      <c r="C4" s="4">
        <f>'Scope 1'!G8</f>
        <v/>
      </c>
      <c r="D4" s="3" t="inlineStr"/>
    </row>
    <row r="5">
      <c r="A5" s="5" t="inlineStr">
        <is>
          <t>Scope 2 – location-based</t>
        </is>
      </c>
      <c r="B5" s="6">
        <f>'Scope 2'!D8</f>
        <v/>
      </c>
      <c r="C5" s="6">
        <f>'Scope 2'!G8</f>
        <v/>
      </c>
      <c r="D5" s="5" t="inlineStr"/>
    </row>
    <row r="6">
      <c r="A6" s="3" t="inlineStr">
        <is>
          <t>Scope 2 – market-based</t>
        </is>
      </c>
      <c r="B6" s="4">
        <f>'Scope 2'!E8</f>
        <v/>
      </c>
      <c r="C6" s="4">
        <f>'Scope 2'!H8</f>
        <v/>
      </c>
      <c r="D6" s="3" t="inlineStr">
        <is>
          <t>Used for targets</t>
        </is>
      </c>
    </row>
    <row r="7">
      <c r="A7" s="5" t="inlineStr">
        <is>
          <t>Scope 3</t>
        </is>
      </c>
      <c r="B7" s="6">
        <f>'Scope 3'!B12</f>
        <v/>
      </c>
      <c r="C7" s="6">
        <f>'Scope 3'!C12</f>
        <v/>
      </c>
      <c r="D7" s="5" t="inlineStr">
        <is>
          <t>Driven by Harrow Bay construction</t>
        </is>
      </c>
    </row>
    <row r="8">
      <c r="A8" s="3" t="inlineStr">
        <is>
          <t>Total (S1 + S2 MB + S3)</t>
        </is>
      </c>
      <c r="B8" s="4">
        <f>B2+B4+B5</f>
        <v/>
      </c>
      <c r="C8" s="4">
        <f>C2+C4+C5</f>
        <v/>
      </c>
      <c r="D8" s="3" t="inlineStr"/>
    </row>
    <row r="9">
      <c r="A9" s="5" t="inlineStr">
        <is>
          <t>CO₂ avoided by generation</t>
        </is>
      </c>
      <c r="B9" s="6" t="n">
        <v>1200000</v>
      </c>
      <c r="C9" s="6" t="inlineStr"/>
      <c r="D9" s="5" t="inlineStr">
        <is>
          <t>See CO2 Avoided Calculation.ods – 2026 only at year end</t>
        </is>
      </c>
    </row>
  </sheetData>
  <autoFilter ref="A3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8" customWidth="1" min="4" max="4"/>
    <col width="12" customWidth="1" min="5" max="5"/>
    <col width="16" customWidth="1" min="6" max="6"/>
    <col width="15" customWidth="1" min="7" max="7"/>
    <col width="24" customWidth="1" min="8" max="8"/>
  </cols>
  <sheetData>
    <row r="1">
      <c r="A1" s="2" t="inlineStr">
        <is>
          <t>Source</t>
        </is>
      </c>
      <c r="B1" s="2" t="inlineStr">
        <is>
          <t>Unit</t>
        </is>
      </c>
      <c r="C1" s="2" t="inlineStr">
        <is>
          <t>Activity 2025</t>
        </is>
      </c>
      <c r="D1" s="2" t="inlineStr">
        <is>
          <t>Factor (tCO2e/unit)</t>
        </is>
      </c>
      <c r="E1" s="2" t="inlineStr">
        <is>
          <t>tCO2e 2025</t>
        </is>
      </c>
      <c r="F1" s="2" t="inlineStr">
        <is>
          <t>Activity 2026 YTD</t>
        </is>
      </c>
      <c r="G1" s="2" t="inlineStr">
        <is>
          <t>tCO2e 2026 YTD</t>
        </is>
      </c>
      <c r="H1" s="2" t="inlineStr">
        <is>
          <t>Source of data</t>
        </is>
      </c>
    </row>
    <row r="2">
      <c r="A2" s="3" t="inlineStr">
        <is>
          <t>Company cars – diesel</t>
        </is>
      </c>
      <c r="B2" s="3" t="inlineStr">
        <is>
          <t>litre</t>
        </is>
      </c>
      <c r="C2" s="7" t="n">
        <v>98400</v>
      </c>
      <c r="D2" s="8" t="n">
        <v>0.00266</v>
      </c>
      <c r="E2" s="7">
        <f>C2*D2</f>
        <v/>
      </c>
      <c r="F2" s="7" t="n">
        <v>52100</v>
      </c>
      <c r="G2" s="7">
        <f>F2*D2</f>
        <v/>
      </c>
      <c r="H2" s="3" t="inlineStr">
        <is>
          <t>Fuel cards</t>
        </is>
      </c>
    </row>
    <row r="3">
      <c r="A3" s="5" t="inlineStr">
        <is>
          <t>Company cars – petrol</t>
        </is>
      </c>
      <c r="B3" s="5" t="inlineStr">
        <is>
          <t>litre</t>
        </is>
      </c>
      <c r="C3" s="9" t="n">
        <v>21300</v>
      </c>
      <c r="D3" s="10" t="n">
        <v>0.00231</v>
      </c>
      <c r="E3" s="9">
        <f>C3*D3</f>
        <v/>
      </c>
      <c r="F3" s="9" t="n">
        <v>9800</v>
      </c>
      <c r="G3" s="9">
        <f>F3*D3</f>
        <v/>
      </c>
      <c r="H3" s="5" t="inlineStr">
        <is>
          <t>Fuel cards</t>
        </is>
      </c>
    </row>
    <row r="4">
      <c r="A4" s="3" t="inlineStr">
        <is>
          <t>Service vans Kestrel Ridge (Highline) – diesel</t>
        </is>
      </c>
      <c r="B4" s="3" t="inlineStr">
        <is>
          <t>litre</t>
        </is>
      </c>
      <c r="C4" s="7" t="n">
        <v>18900</v>
      </c>
      <c r="D4" s="8" t="n">
        <v>0.00266</v>
      </c>
      <c r="E4" s="7">
        <f>C4*D4</f>
        <v/>
      </c>
      <c r="F4" s="7" t="n">
        <v>12600</v>
      </c>
      <c r="G4" s="7">
        <f>F4*D4</f>
        <v/>
      </c>
      <c r="H4" s="3" t="inlineStr">
        <is>
          <t>Highline monthly report</t>
        </is>
      </c>
    </row>
    <row r="5">
      <c r="A5" s="5" t="inlineStr">
        <is>
          <t>Backup diesel generators (substations)</t>
        </is>
      </c>
      <c r="B5" s="5" t="inlineStr">
        <is>
          <t>litre</t>
        </is>
      </c>
      <c r="C5" s="9" t="n">
        <v>31200</v>
      </c>
      <c r="D5" s="10" t="n">
        <v>0.00268</v>
      </c>
      <c r="E5" s="9">
        <f>C5*D5</f>
        <v/>
      </c>
      <c r="F5" s="9" t="n">
        <v>17400</v>
      </c>
      <c r="G5" s="9">
        <f>F5*D5</f>
        <v/>
      </c>
      <c r="H5" s="5" t="inlineStr">
        <is>
          <t>Site logs</t>
        </is>
      </c>
    </row>
    <row r="6">
      <c r="A6" s="3" t="inlineStr">
        <is>
          <t>Natural gas – Edinburgh office</t>
        </is>
      </c>
      <c r="B6" s="3" t="inlineStr">
        <is>
          <t>kWh</t>
        </is>
      </c>
      <c r="C6" s="7" t="n">
        <v>196000</v>
      </c>
      <c r="D6" s="8" t="n">
        <v>0.000183</v>
      </c>
      <c r="E6" s="7">
        <f>C6*D6</f>
        <v/>
      </c>
      <c r="F6" s="7" t="n">
        <v>118000</v>
      </c>
      <c r="G6" s="7">
        <f>F6*D6</f>
        <v/>
      </c>
      <c r="H6" s="3" t="inlineStr">
        <is>
          <t>Supplier invoices</t>
        </is>
      </c>
    </row>
    <row r="7">
      <c r="A7" s="5" t="inlineStr">
        <is>
          <t>SF6 leakage (switchgear top-ups)</t>
        </is>
      </c>
      <c r="B7" s="5" t="inlineStr">
        <is>
          <t>kg</t>
        </is>
      </c>
      <c r="C7" s="9" t="n">
        <v>0.9</v>
      </c>
      <c r="D7" s="10" t="n">
        <v>23.5</v>
      </c>
      <c r="E7" s="9">
        <f>C7*D7</f>
        <v/>
      </c>
      <c r="F7" s="9" t="n">
        <v>0.4</v>
      </c>
      <c r="G7" s="9">
        <f>F7*D7</f>
        <v/>
      </c>
      <c r="H7" s="5" t="inlineStr">
        <is>
          <t>Maintenance logs</t>
        </is>
      </c>
    </row>
    <row r="8">
      <c r="A8" s="3" t="inlineStr">
        <is>
          <t>Total Scope 1</t>
        </is>
      </c>
      <c r="B8" s="3" t="inlineStr"/>
      <c r="C8" s="7" t="inlineStr"/>
      <c r="D8" s="8" t="inlineStr"/>
      <c r="E8" s="7">
        <f>SUM(E2:E7)</f>
        <v/>
      </c>
      <c r="F8" s="7" t="inlineStr"/>
      <c r="G8" s="7">
        <f>SUM(G2:G7)</f>
        <v/>
      </c>
      <c r="H8" s="3" t="inlineStr"/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8" customWidth="1" min="3" max="3"/>
    <col width="14" customWidth="1" min="4" max="4"/>
    <col width="22" customWidth="1" min="5" max="5"/>
    <col width="14" customWidth="1" min="6" max="6"/>
    <col width="18" customWidth="1" min="7" max="7"/>
    <col width="26" customWidth="1" min="8" max="8"/>
    <col width="30" customWidth="1" min="9" max="9"/>
  </cols>
  <sheetData>
    <row r="1">
      <c r="A1" s="2" t="inlineStr">
        <is>
          <t>Source</t>
        </is>
      </c>
      <c r="B1" s="2" t="inlineStr">
        <is>
          <t>MWh 2025</t>
        </is>
      </c>
      <c r="C1" s="2" t="inlineStr">
        <is>
          <t>Location-based factor</t>
        </is>
      </c>
      <c r="D1" s="2" t="inlineStr">
        <is>
          <t>tCO2e LB 2025</t>
        </is>
      </c>
      <c r="E1" s="2" t="inlineStr">
        <is>
          <t>Market-based tCO2e 2025</t>
        </is>
      </c>
      <c r="F1" s="2" t="inlineStr">
        <is>
          <t>MWh 2026 YTD</t>
        </is>
      </c>
      <c r="G1" s="2" t="inlineStr">
        <is>
          <t>tCO2e LB 2026 YTD</t>
        </is>
      </c>
      <c r="H1" s="2" t="inlineStr">
        <is>
          <t>Market-based tCO2e 2026 YTD</t>
        </is>
      </c>
      <c r="I1" s="2" t="inlineStr">
        <is>
          <t>Note</t>
        </is>
      </c>
    </row>
    <row r="2">
      <c r="A2" s="3" t="inlineStr">
        <is>
          <t>Offices Hamburg (Am Sandtorkai)</t>
        </is>
      </c>
      <c r="B2" s="3" t="n">
        <v>612</v>
      </c>
      <c r="C2" s="3" t="n">
        <v>0.38</v>
      </c>
      <c r="D2" s="7">
        <f>B2*C2</f>
        <v/>
      </c>
      <c r="E2" s="3" t="n">
        <v>0</v>
      </c>
      <c r="F2" s="3" t="n">
        <v>401</v>
      </c>
      <c r="G2" s="7">
        <f>F2*C2</f>
        <v/>
      </c>
      <c r="H2" s="3" t="n">
        <v>0</v>
      </c>
      <c r="I2" s="3" t="inlineStr">
        <is>
          <t>Green tariff with GoOs</t>
        </is>
      </c>
    </row>
    <row r="3">
      <c r="A3" s="5" t="inlineStr">
        <is>
          <t>Office Edinburgh</t>
        </is>
      </c>
      <c r="B3" s="5" t="n">
        <v>288</v>
      </c>
      <c r="C3" s="5" t="n">
        <v>0.207</v>
      </c>
      <c r="D3" s="9">
        <f>B3*C3</f>
        <v/>
      </c>
      <c r="E3" s="5" t="n">
        <v>0</v>
      </c>
      <c r="F3" s="5" t="n">
        <v>187</v>
      </c>
      <c r="G3" s="9">
        <f>F3*C3</f>
        <v/>
      </c>
      <c r="H3" s="5" t="n">
        <v>0</v>
      </c>
      <c r="I3" s="5" t="inlineStr">
        <is>
          <t>REGO-backed tariff</t>
        </is>
      </c>
    </row>
    <row r="4">
      <c r="A4" s="3" t="inlineStr">
        <is>
          <t>Office Copenhagen</t>
        </is>
      </c>
      <c r="B4" s="3" t="n">
        <v>154</v>
      </c>
      <c r="C4" s="3" t="n">
        <v>0.14</v>
      </c>
      <c r="D4" s="7">
        <f>B4*C4</f>
        <v/>
      </c>
      <c r="E4" s="3" t="n">
        <v>21.6</v>
      </c>
      <c r="F4" s="3" t="n">
        <v>99</v>
      </c>
      <c r="G4" s="7">
        <f>F4*C4</f>
        <v/>
      </c>
      <c r="H4" s="3" t="n">
        <v>13.9</v>
      </c>
      <c r="I4" s="3" t="inlineStr">
        <is>
          <t>Grey tariff – switch in Jan 2027</t>
        </is>
      </c>
    </row>
    <row r="5">
      <c r="A5" s="5" t="inlineStr">
        <is>
          <t>Substation auxiliary imports – UK</t>
        </is>
      </c>
      <c r="B5" s="5" t="n">
        <v>2110</v>
      </c>
      <c r="C5" s="5" t="n">
        <v>0.207</v>
      </c>
      <c r="D5" s="9">
        <f>B5*C5</f>
        <v/>
      </c>
      <c r="E5" s="5" t="n">
        <v>0</v>
      </c>
      <c r="F5" s="5" t="n">
        <v>1380</v>
      </c>
      <c r="G5" s="9">
        <f>F5*C5</f>
        <v/>
      </c>
      <c r="H5" s="5" t="n">
        <v>0</v>
      </c>
      <c r="I5" s="5" t="inlineStr">
        <is>
          <t>Self-supply when generating</t>
        </is>
      </c>
    </row>
    <row r="6">
      <c r="A6" s="3" t="inlineStr">
        <is>
          <t>Substation auxiliary imports – DE</t>
        </is>
      </c>
      <c r="B6" s="3" t="n">
        <v>2340</v>
      </c>
      <c r="C6" s="3" t="n">
        <v>0.38</v>
      </c>
      <c r="D6" s="7">
        <f>B6*C6</f>
        <v/>
      </c>
      <c r="E6" s="3" t="n">
        <v>96</v>
      </c>
      <c r="F6" s="3" t="n">
        <v>1520</v>
      </c>
      <c r="G6" s="7">
        <f>F6*C6</f>
        <v/>
      </c>
      <c r="H6" s="3" t="n">
        <v>61</v>
      </c>
      <c r="I6" s="3" t="inlineStr">
        <is>
          <t>Partly residual mix</t>
        </is>
      </c>
    </row>
    <row r="7">
      <c r="A7" s="5" t="inlineStr">
        <is>
          <t>Substation auxiliary imports – DK</t>
        </is>
      </c>
      <c r="B7" s="5" t="n">
        <v>520</v>
      </c>
      <c r="C7" s="5" t="n">
        <v>0.14</v>
      </c>
      <c r="D7" s="9">
        <f>B7*C7</f>
        <v/>
      </c>
      <c r="E7" s="5" t="n">
        <v>0</v>
      </c>
      <c r="F7" s="5" t="n">
        <v>332</v>
      </c>
      <c r="G7" s="9">
        <f>F7*C7</f>
        <v/>
      </c>
      <c r="H7" s="5" t="n">
        <v>0</v>
      </c>
      <c r="I7" s="5" t="inlineStr"/>
    </row>
    <row r="8">
      <c r="A8" s="3" t="inlineStr">
        <is>
          <t>Total Scope 2</t>
        </is>
      </c>
      <c r="B8" s="3">
        <f>SUM(B2:B7)</f>
        <v/>
      </c>
      <c r="C8" s="3" t="inlineStr"/>
      <c r="D8" s="7">
        <f>SUM(D2:D7)</f>
        <v/>
      </c>
      <c r="E8" s="3">
        <f>SUM(E2:E7)</f>
        <v/>
      </c>
      <c r="F8" s="3">
        <f>SUM(F2:F7)</f>
        <v/>
      </c>
      <c r="G8" s="7">
        <f>SUM(G2:G7)</f>
        <v/>
      </c>
      <c r="H8" s="3">
        <f>SUM(H2:H7)</f>
        <v/>
      </c>
      <c r="I8" s="3" t="inlineStr"/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5" customWidth="1" min="3" max="3"/>
    <col width="28" customWidth="1" min="4" max="4"/>
    <col width="12" customWidth="1" min="5" max="5"/>
    <col width="46" customWidth="1" min="6" max="6"/>
  </cols>
  <sheetData>
    <row r="1">
      <c r="A1" s="2" t="inlineStr">
        <is>
          <t>GHG Protocol category</t>
        </is>
      </c>
      <c r="B1" s="2" t="inlineStr">
        <is>
          <t>tCO2e 2025</t>
        </is>
      </c>
      <c r="C1" s="2" t="inlineStr">
        <is>
          <t>tCO2e 2026 YTD</t>
        </is>
      </c>
      <c r="D1" s="2" t="inlineStr">
        <is>
          <t>Method</t>
        </is>
      </c>
      <c r="E1" s="2" t="inlineStr">
        <is>
          <t>Data quality</t>
        </is>
      </c>
      <c r="F1" s="2" t="inlineStr">
        <is>
          <t>Comment</t>
        </is>
      </c>
    </row>
    <row r="2">
      <c r="A2" s="3" t="inlineStr">
        <is>
          <t>1 Purchased goods and services</t>
        </is>
      </c>
      <c r="B2" s="3" t="n">
        <v>6200</v>
      </c>
      <c r="C2" s="3" t="n">
        <v>4900</v>
      </c>
      <c r="D2" s="3" t="inlineStr">
        <is>
          <t>Spend-based</t>
        </is>
      </c>
      <c r="E2" s="3" t="inlineStr">
        <is>
          <t>Low</t>
        </is>
      </c>
      <c r="F2" s="3" t="inlineStr">
        <is>
          <t>O&amp;M services, IT, consulting</t>
        </is>
      </c>
    </row>
    <row r="3">
      <c r="A3" s="5" t="inlineStr">
        <is>
          <t>2 Capital goods – Harrow Bay foundations (steel)</t>
        </is>
      </c>
      <c r="B3" s="5" t="n">
        <v>38500</v>
      </c>
      <c r="C3" s="5" t="n">
        <v>64800</v>
      </c>
      <c r="D3" s="5" t="inlineStr">
        <is>
          <t>Supplier tonnage × EPD</t>
        </is>
      </c>
      <c r="E3" s="5" t="inlineStr">
        <is>
          <t>Medium</t>
        </is>
      </c>
      <c r="F3" s="5" t="inlineStr">
        <is>
          <t>Monopiles and TPs delivered; Rhenus EPD pending</t>
        </is>
      </c>
    </row>
    <row r="4">
      <c r="A4" s="3" t="inlineStr">
        <is>
          <t>2 Capital goods – Harrow Bay substation</t>
        </is>
      </c>
      <c r="B4" s="3" t="n">
        <v>0</v>
      </c>
      <c r="C4" s="3" t="n">
        <v>21400</v>
      </c>
      <c r="D4" s="3" t="inlineStr">
        <is>
          <t>Supplier data</t>
        </is>
      </c>
      <c r="E4" s="3" t="inlineStr">
        <is>
          <t>Medium</t>
        </is>
      </c>
      <c r="F4" s="3" t="inlineStr">
        <is>
          <t>HB-OSS topside and jacket, installed Aug 2026</t>
        </is>
      </c>
    </row>
    <row r="5">
      <c r="A5" s="5" t="inlineStr">
        <is>
          <t>2 Capital goods – other</t>
        </is>
      </c>
      <c r="B5" s="5" t="n">
        <v>4100</v>
      </c>
      <c r="C5" s="5" t="n">
        <v>2300</v>
      </c>
      <c r="D5" s="5" t="inlineStr">
        <is>
          <t>Spend-based</t>
        </is>
      </c>
      <c r="E5" s="5" t="inlineStr">
        <is>
          <t>Low</t>
        </is>
      </c>
      <c r="F5" s="5" t="inlineStr">
        <is>
          <t>Kestrel Ridge gearbox T-07 exchange etc.</t>
        </is>
      </c>
    </row>
    <row r="6">
      <c r="A6" s="3" t="inlineStr">
        <is>
          <t>3 Fuel- and energy-related activities</t>
        </is>
      </c>
      <c r="B6" s="3" t="n">
        <v>980</v>
      </c>
      <c r="C6" s="3" t="n">
        <v>640</v>
      </c>
      <c r="D6" s="3" t="inlineStr">
        <is>
          <t>Well-to-tank factors</t>
        </is>
      </c>
      <c r="E6" s="3" t="inlineStr">
        <is>
          <t>High</t>
        </is>
      </c>
      <c r="F6" s="3" t="inlineStr"/>
    </row>
    <row r="7">
      <c r="A7" s="5" t="inlineStr">
        <is>
          <t>4 Upstream transport – installation vessels</t>
        </is>
      </c>
      <c r="B7" s="5" t="n">
        <v>3200</v>
      </c>
      <c r="C7" s="5" t="n">
        <v>0</v>
      </c>
      <c r="D7" s="5" t="inlineStr">
        <is>
          <t>Fuel reported by Atlas Marine</t>
        </is>
      </c>
      <c r="E7" s="5" t="inlineStr">
        <is>
          <t>High</t>
        </is>
      </c>
      <c r="F7" s="5" t="inlineStr">
        <is>
          <t>Missing – requested from Atlas Marine</t>
        </is>
      </c>
    </row>
    <row r="8">
      <c r="A8" s="3" t="inlineStr">
        <is>
          <t>5 Waste</t>
        </is>
      </c>
      <c r="B8" s="3" t="n">
        <v>210</v>
      </c>
      <c r="C8" s="3" t="n">
        <v>390</v>
      </c>
      <c r="D8" s="3" t="inlineStr">
        <is>
          <t>Waste contractor data</t>
        </is>
      </c>
      <c r="E8" s="3" t="inlineStr">
        <is>
          <t>Low</t>
        </is>
      </c>
      <c r="F8" s="3" t="inlineStr">
        <is>
          <t>Construction waste Eastholm incomplete</t>
        </is>
      </c>
    </row>
    <row r="9">
      <c r="A9" s="5" t="inlineStr">
        <is>
          <t>6 Business travel</t>
        </is>
      </c>
      <c r="B9" s="5" t="n">
        <v>640</v>
      </c>
      <c r="C9" s="5" t="n">
        <v>470</v>
      </c>
      <c r="D9" s="5" t="inlineStr">
        <is>
          <t>Travel agency report</t>
        </is>
      </c>
      <c r="E9" s="5" t="inlineStr">
        <is>
          <t>High</t>
        </is>
      </c>
      <c r="F9" s="5" t="inlineStr">
        <is>
          <t>Summit travel included</t>
        </is>
      </c>
    </row>
    <row r="10">
      <c r="A10" s="3" t="inlineStr">
        <is>
          <t>7 Employee commuting</t>
        </is>
      </c>
      <c r="B10" s="3" t="n">
        <v>520</v>
      </c>
      <c r="C10" s="3" t="n">
        <v>350</v>
      </c>
      <c r="D10" s="3" t="inlineStr">
        <is>
          <t>Survey 2025 extrapolated</t>
        </is>
      </c>
      <c r="E10" s="3" t="inlineStr">
        <is>
          <t>Medium</t>
        </is>
      </c>
      <c r="F10" s="3" t="inlineStr"/>
    </row>
    <row r="11">
      <c r="A11" s="5" t="inlineStr">
        <is>
          <t>11 Use of sold products</t>
        </is>
      </c>
      <c r="B11" s="5" t="inlineStr">
        <is>
          <t>n/a</t>
        </is>
      </c>
      <c r="C11" s="5" t="inlineStr">
        <is>
          <t>n/a</t>
        </is>
      </c>
      <c r="D11" s="5" t="inlineStr"/>
      <c r="E11" s="5" t="inlineStr"/>
      <c r="F11" s="5" t="inlineStr">
        <is>
          <t>Electricity generation – not applicable</t>
        </is>
      </c>
    </row>
    <row r="12">
      <c r="A12" s="3" t="inlineStr">
        <is>
          <t>Total Scope 3</t>
        </is>
      </c>
      <c r="B12" s="3">
        <f>SUM(B2:B10)</f>
        <v/>
      </c>
      <c r="C12" s="3">
        <f>SUM(C2:C10)</f>
        <v/>
      </c>
      <c r="D12" s="3" t="inlineStr"/>
      <c r="E12" s="3" t="inlineStr"/>
      <c r="F12" s="3" t="inlineStr"/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Hannah Weber</dc:creator>
  <dcterms:created xmlns:dcterms="http://purl.org/dc/terms/" xmlns:xsi="http://www.w3.org/2001/XMLSchema-instance" xsi:type="dcterms:W3CDTF">2026-07-20T10:00:00Z</dcterms:created>
  <dcterms:modified xmlns:dcterms="http://purl.org/dc/terms/" xmlns:xsi="http://www.w3.org/2001/XMLSchema-instance" xsi:type="dcterms:W3CDTF">2026-10-04T19:30:44Z</dcterms:modified>
  <cp:lastModifiedBy>Hannah Weber</cp:lastModifiedBy>
</cp:coreProperties>
</file>