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'Budget'!$A$3:$E$18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North Sea Energy Summit 2026 – budget vs. actual (approved EUR 185,000)</t>
        </is>
      </c>
    </row>
    <row r="3">
      <c r="A3" s="2" t="inlineStr">
        <is>
          <t>Item</t>
        </is>
      </c>
      <c r="B3" s="2" t="inlineStr">
        <is>
          <t>Supplier</t>
        </is>
      </c>
      <c r="C3" s="2" t="inlineStr">
        <is>
          <t>Budget EUR</t>
        </is>
      </c>
      <c r="D3" s="2" t="inlineStr">
        <is>
          <t>Actual EUR</t>
        </is>
      </c>
      <c r="E3" s="2" t="inlineStr">
        <is>
          <t>Variance EUR</t>
        </is>
      </c>
    </row>
    <row r="4">
      <c r="A4" s="3" t="inlineStr">
        <is>
          <t>Stand space 80 m² × EUR 395</t>
        </is>
      </c>
      <c r="B4" s="3" t="inlineStr">
        <is>
          <t>Organiser</t>
        </is>
      </c>
      <c r="C4" s="4" t="n">
        <v>31600</v>
      </c>
      <c r="D4" s="4" t="n">
        <v>31600</v>
      </c>
      <c r="E4" s="4">
        <f>C4-D4</f>
        <v/>
      </c>
    </row>
    <row r="5">
      <c r="A5" s="5" t="inlineStr">
        <is>
          <t>Stand construction incl. flooring, walls, furniture</t>
        </is>
      </c>
      <c r="B5" s="5" t="inlineStr">
        <is>
          <t>Messebau Kranz</t>
        </is>
      </c>
      <c r="C5" s="6" t="n">
        <v>68000</v>
      </c>
      <c r="D5" s="6" t="n">
        <v>69850</v>
      </c>
      <c r="E5" s="6">
        <f>C5-D5</f>
        <v/>
      </c>
    </row>
    <row r="6">
      <c r="A6" s="3" t="inlineStr">
        <is>
          <t>LED wall 4.4 × 2.5 m incl. technician</t>
        </is>
      </c>
      <c r="B6" s="3" t="inlineStr">
        <is>
          <t>Messebau Kranz</t>
        </is>
      </c>
      <c r="C6" s="4" t="n">
        <v>14500</v>
      </c>
      <c r="D6" s="4" t="n">
        <v>14500</v>
      </c>
      <c r="E6" s="4">
        <f>C6-D6</f>
        <v/>
      </c>
    </row>
    <row r="7">
      <c r="A7" s="5" t="inlineStr">
        <is>
          <t>Graphics and print</t>
        </is>
      </c>
      <c r="B7" s="5" t="inlineStr">
        <is>
          <t>Druckhaus Elbe</t>
        </is>
      </c>
      <c r="C7" s="6" t="n">
        <v>6800</v>
      </c>
      <c r="D7" s="6" t="n">
        <v>6240</v>
      </c>
      <c r="E7" s="6">
        <f>C7-D7</f>
        <v/>
      </c>
    </row>
    <row r="8">
      <c r="A8" s="3" t="inlineStr">
        <is>
          <t>Electrical connection and consumption</t>
        </is>
      </c>
      <c r="B8" s="3" t="inlineStr">
        <is>
          <t>Organiser</t>
        </is>
      </c>
      <c r="C8" s="4" t="n">
        <v>2900</v>
      </c>
      <c r="D8" s="4" t="n">
        <v>3120</v>
      </c>
      <c r="E8" s="4">
        <f>C8-D8</f>
        <v/>
      </c>
    </row>
    <row r="9">
      <c r="A9" s="5" t="inlineStr">
        <is>
          <t>Plants and lounge accessories</t>
        </is>
      </c>
      <c r="B9" s="5" t="inlineStr">
        <is>
          <t>Grünwerk Hamburg</t>
        </is>
      </c>
      <c r="C9" s="6" t="n">
        <v>4200</v>
      </c>
      <c r="D9" s="6" t="n">
        <v>3780</v>
      </c>
      <c r="E9" s="6">
        <f>C9-D9</f>
        <v/>
      </c>
    </row>
    <row r="10">
      <c r="A10" s="3" t="inlineStr">
        <is>
          <t>Booth catering (3 days)</t>
        </is>
      </c>
      <c r="B10" s="3" t="inlineStr">
        <is>
          <t>Elbe Catering</t>
        </is>
      </c>
      <c r="C10" s="4" t="n">
        <v>9800</v>
      </c>
      <c r="D10" s="4" t="n">
        <v>8930</v>
      </c>
      <c r="E10" s="4">
        <f>C10-D10</f>
        <v/>
      </c>
    </row>
    <row r="11">
      <c r="A11" s="5" t="inlineStr">
        <is>
          <t>Giveaways</t>
        </is>
      </c>
      <c r="B11" s="5" t="inlineStr">
        <is>
          <t>GreenGoods Promotion</t>
        </is>
      </c>
      <c r="C11" s="6" t="n">
        <v>7500</v>
      </c>
      <c r="D11" s="6" t="n">
        <v>7450</v>
      </c>
      <c r="E11" s="6">
        <f>C11-D11</f>
        <v/>
      </c>
    </row>
    <row r="12">
      <c r="A12" s="3" t="inlineStr">
        <is>
          <t>Networking reception (50 % share)</t>
        </is>
      </c>
      <c r="B12" s="3" t="inlineStr">
        <is>
          <t>Co-host</t>
        </is>
      </c>
      <c r="C12" s="4" t="n">
        <v>10000</v>
      </c>
      <c r="D12" s="4" t="n">
        <v>10000</v>
      </c>
      <c r="E12" s="4">
        <f>C12-D12</f>
        <v/>
      </c>
    </row>
    <row r="13">
      <c r="A13" s="5" t="inlineStr">
        <is>
          <t>Travel and hotels</t>
        </is>
      </c>
      <c r="B13" s="5" t="inlineStr">
        <is>
          <t>various</t>
        </is>
      </c>
      <c r="C13" s="6" t="n">
        <v>12600</v>
      </c>
      <c r="D13" s="6" t="n">
        <v>11980</v>
      </c>
      <c r="E13" s="6">
        <f>C13-D13</f>
        <v/>
      </c>
    </row>
    <row r="14">
      <c r="A14" s="3" t="inlineStr">
        <is>
          <t>Lead app licences (6)</t>
        </is>
      </c>
      <c r="B14" s="3" t="inlineStr">
        <is>
          <t>Organiser</t>
        </is>
      </c>
      <c r="C14" s="4" t="n">
        <v>1900</v>
      </c>
      <c r="D14" s="4" t="n">
        <v>1900</v>
      </c>
      <c r="E14" s="4">
        <f>C14-D14</f>
        <v/>
      </c>
    </row>
    <row r="15">
      <c r="A15" s="5" t="inlineStr">
        <is>
          <t>Photographer (2 days)</t>
        </is>
      </c>
      <c r="B15" s="5" t="inlineStr">
        <is>
          <t>Freelance</t>
        </is>
      </c>
      <c r="C15" s="6" t="n">
        <v>2400</v>
      </c>
      <c r="D15" s="6" t="n">
        <v>2400</v>
      </c>
      <c r="E15" s="6">
        <f>C15-D15</f>
        <v/>
      </c>
    </row>
    <row r="16">
      <c r="A16" s="3" t="inlineStr">
        <is>
          <t>Turbine model transport and insurance</t>
        </is>
      </c>
      <c r="B16" s="3" t="inlineStr">
        <is>
          <t>Halden / insurer</t>
        </is>
      </c>
      <c r="C16" s="4" t="n">
        <v>3000</v>
      </c>
      <c r="D16" s="4" t="n">
        <v>2650</v>
      </c>
      <c r="E16" s="4">
        <f>C16-D16</f>
        <v/>
      </c>
    </row>
    <row r="17">
      <c r="A17" s="5" t="inlineStr">
        <is>
          <t>Contingency</t>
        </is>
      </c>
      <c r="B17" s="5" t="inlineStr"/>
      <c r="C17" s="6" t="n">
        <v>9800</v>
      </c>
      <c r="D17" s="6" t="n">
        <v>1600</v>
      </c>
      <c r="E17" s="6">
        <f>C17-D17</f>
        <v/>
      </c>
    </row>
    <row r="18">
      <c r="A18" s="3" t="inlineStr">
        <is>
          <t>Total</t>
        </is>
      </c>
      <c r="B18" s="3" t="inlineStr"/>
      <c r="C18" s="4">
        <f>SUM(C4:C17)</f>
        <v/>
      </c>
      <c r="D18" s="4">
        <f>SUM(D4:D17)</f>
        <v/>
      </c>
      <c r="E18" s="4">
        <f>C18-D18</f>
        <v/>
      </c>
    </row>
  </sheetData>
  <autoFilter ref="A3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2026-02-02T10:00:00Z</dcterms:created>
  <dcterms:modified xmlns:dcterms="http://purl.org/dc/terms/" xmlns:xsi="http://www.w3.org/2001/XMLSchema-instance" xsi:type="dcterms:W3CDTF">2026-10-04T19:30:43Z</dcterms:modified>
  <cp:lastModifiedBy>Noah Fischer</cp:lastModifiedBy>
</cp:coreProperties>
</file>