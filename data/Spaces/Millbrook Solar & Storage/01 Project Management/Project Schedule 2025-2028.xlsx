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>
    <definedName name="_xlnm._FilterDatabase" localSheetId="0" hidden="1">'Schedule'!$A$1:$H$24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1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" fontId="1" fillId="3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12" customWidth="1" min="4" max="4"/>
    <col width="12" customWidth="1" min="5" max="5"/>
    <col width="14" customWidth="1" min="6" max="6"/>
    <col width="11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Workstream</t>
        </is>
      </c>
      <c r="C1" s="1" t="inlineStr">
        <is>
          <t>Task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Duration (days)</t>
        </is>
      </c>
      <c r="G1" s="1" t="inlineStr">
        <is>
          <t>% complete</t>
        </is>
      </c>
      <c r="H1" s="1" t="inlineStr">
        <is>
          <t>Owner</t>
        </is>
      </c>
    </row>
    <row r="2">
      <c r="A2" s="2" t="inlineStr">
        <is>
          <t>1</t>
        </is>
      </c>
      <c r="B2" s="2" t="inlineStr">
        <is>
          <t>Development</t>
        </is>
      </c>
      <c r="C2" s="2" t="inlineStr">
        <is>
          <t>Land lease signed</t>
        </is>
      </c>
      <c r="D2" s="3" t="n">
        <v>45852</v>
      </c>
      <c r="E2" s="3" t="n">
        <v>45979</v>
      </c>
      <c r="F2" s="4">
        <f>E2-D2</f>
        <v/>
      </c>
      <c r="G2" s="5" t="n">
        <v>1</v>
      </c>
      <c r="H2" s="2" t="inlineStr">
        <is>
          <t>Priya Nair</t>
        </is>
      </c>
    </row>
    <row r="3">
      <c r="A3" s="6" t="inlineStr">
        <is>
          <t>2</t>
        </is>
      </c>
      <c r="B3" s="6" t="inlineStr">
        <is>
          <t>Development</t>
        </is>
      </c>
      <c r="C3" s="6" t="inlineStr">
        <is>
          <t>Grid connection offer accepted (NGT-OFF-2025-1187)</t>
        </is>
      </c>
      <c r="D3" s="7" t="n">
        <v>45901</v>
      </c>
      <c r="E3" s="7" t="n">
        <v>46003</v>
      </c>
      <c r="F3" s="8">
        <f>E3-D3</f>
        <v/>
      </c>
      <c r="G3" s="9" t="n">
        <v>1</v>
      </c>
      <c r="H3" s="6" t="inlineStr">
        <is>
          <t>Ahmed Rahimi</t>
        </is>
      </c>
    </row>
    <row r="4">
      <c r="A4" s="2" t="inlineStr">
        <is>
          <t>3</t>
        </is>
      </c>
      <c r="B4" s="2" t="inlineStr">
        <is>
          <t>Surveys</t>
        </is>
      </c>
      <c r="C4" s="2" t="inlineStr">
        <is>
          <t>Habitat and wintering bird surveys</t>
        </is>
      </c>
      <c r="D4" s="3" t="n">
        <v>45944</v>
      </c>
      <c r="E4" s="3" t="n">
        <v>46080</v>
      </c>
      <c r="F4" s="4">
        <f>E4-D4</f>
        <v/>
      </c>
      <c r="G4" s="5" t="n">
        <v>1</v>
      </c>
      <c r="H4" s="2" t="inlineStr">
        <is>
          <t>Marlow Ecology</t>
        </is>
      </c>
    </row>
    <row r="5">
      <c r="A5" s="6" t="inlineStr">
        <is>
          <t>4</t>
        </is>
      </c>
      <c r="B5" s="6" t="inlineStr">
        <is>
          <t>Surveys</t>
        </is>
      </c>
      <c r="C5" s="6" t="inlineStr">
        <is>
          <t>Breeding bird survey (skylark)</t>
        </is>
      </c>
      <c r="D5" s="7" t="n">
        <v>46128</v>
      </c>
      <c r="E5" s="7" t="n">
        <v>46199</v>
      </c>
      <c r="F5" s="8">
        <f>E5-D5</f>
        <v/>
      </c>
      <c r="G5" s="9" t="n">
        <v>1</v>
      </c>
      <c r="H5" s="6" t="inlineStr">
        <is>
          <t>Marlow Ecology</t>
        </is>
      </c>
    </row>
    <row r="6">
      <c r="A6" s="2" t="inlineStr">
        <is>
          <t>5</t>
        </is>
      </c>
      <c r="B6" s="2" t="inlineStr">
        <is>
          <t>Surveys</t>
        </is>
      </c>
      <c r="C6" s="2" t="inlineStr">
        <is>
          <t>Geophysical survey (archaeology)</t>
        </is>
      </c>
      <c r="D6" s="3" t="n">
        <v>46034</v>
      </c>
      <c r="E6" s="3" t="n">
        <v>46073</v>
      </c>
      <c r="F6" s="4">
        <f>E6-D6</f>
        <v/>
      </c>
      <c r="G6" s="5" t="n">
        <v>1</v>
      </c>
      <c r="H6" s="2" t="inlineStr">
        <is>
          <t>Liam McAllister</t>
        </is>
      </c>
    </row>
    <row r="7">
      <c r="A7" s="6" t="inlineStr">
        <is>
          <t>6</t>
        </is>
      </c>
      <c r="B7" s="6" t="inlineStr">
        <is>
          <t>Design</t>
        </is>
      </c>
      <c r="C7" s="6" t="inlineStr">
        <is>
          <t>Layout Rev A</t>
        </is>
      </c>
      <c r="D7" s="7" t="n">
        <v>46027</v>
      </c>
      <c r="E7" s="7" t="n">
        <v>46059</v>
      </c>
      <c r="F7" s="8">
        <f>E7-D7</f>
        <v/>
      </c>
      <c r="G7" s="9" t="n">
        <v>1</v>
      </c>
      <c r="H7" s="6" t="inlineStr">
        <is>
          <t>Sofie Lindqvist</t>
        </is>
      </c>
    </row>
    <row r="8">
      <c r="A8" s="2" t="inlineStr">
        <is>
          <t>7</t>
        </is>
      </c>
      <c r="B8" s="2" t="inlineStr">
        <is>
          <t>Engagement</t>
        </is>
      </c>
      <c r="C8" s="2" t="inlineStr">
        <is>
          <t>Public consultation #1</t>
        </is>
      </c>
      <c r="D8" s="3" t="n">
        <v>46092</v>
      </c>
      <c r="E8" s="3" t="n">
        <v>46113</v>
      </c>
      <c r="F8" s="4">
        <f>E8-D8</f>
        <v/>
      </c>
      <c r="G8" s="5" t="n">
        <v>1</v>
      </c>
      <c r="H8" s="2" t="inlineStr">
        <is>
          <t>Tom Berger</t>
        </is>
      </c>
    </row>
    <row r="9">
      <c r="A9" s="6" t="inlineStr">
        <is>
          <t>8</t>
        </is>
      </c>
      <c r="B9" s="6" t="inlineStr">
        <is>
          <t>Design</t>
        </is>
      </c>
      <c r="C9" s="6" t="inlineStr">
        <is>
          <t>Layout Rev B (post consultation #1)</t>
        </is>
      </c>
      <c r="D9" s="7" t="n">
        <v>46104</v>
      </c>
      <c r="E9" s="7" t="n">
        <v>46126</v>
      </c>
      <c r="F9" s="8">
        <f>E9-D9</f>
        <v/>
      </c>
      <c r="G9" s="9" t="n">
        <v>1</v>
      </c>
      <c r="H9" s="6" t="inlineStr">
        <is>
          <t>Sofie Lindqvist</t>
        </is>
      </c>
    </row>
    <row r="10">
      <c r="A10" s="2" t="inlineStr">
        <is>
          <t>9</t>
        </is>
      </c>
      <c r="B10" s="2" t="inlineStr">
        <is>
          <t>Studies</t>
        </is>
      </c>
      <c r="C10" s="2" t="inlineStr">
        <is>
          <t>Glint and glare assessment</t>
        </is>
      </c>
      <c r="D10" s="3" t="n">
        <v>46118</v>
      </c>
      <c r="E10" s="3" t="n">
        <v>46171</v>
      </c>
      <c r="F10" s="4">
        <f>E10-D10</f>
        <v/>
      </c>
      <c r="G10" s="5" t="n">
        <v>1</v>
      </c>
      <c r="H10" s="2" t="inlineStr">
        <is>
          <t>Sofie Lindqvist</t>
        </is>
      </c>
    </row>
    <row r="11">
      <c r="A11" s="6" t="inlineStr">
        <is>
          <t>10</t>
        </is>
      </c>
      <c r="B11" s="6" t="inlineStr">
        <is>
          <t>Studies</t>
        </is>
      </c>
      <c r="C11" s="6" t="inlineStr">
        <is>
          <t>LVIA and photomontages</t>
        </is>
      </c>
      <c r="D11" s="7" t="n">
        <v>46055</v>
      </c>
      <c r="E11" s="7" t="n">
        <v>46183</v>
      </c>
      <c r="F11" s="8">
        <f>E11-D11</f>
        <v/>
      </c>
      <c r="G11" s="9" t="n">
        <v>1</v>
      </c>
      <c r="H11" s="6" t="inlineStr">
        <is>
          <t>Liam McAllister</t>
        </is>
      </c>
    </row>
    <row r="12">
      <c r="A12" s="2" t="inlineStr">
        <is>
          <t>11</t>
        </is>
      </c>
      <c r="B12" s="2" t="inlineStr">
        <is>
          <t>Engagement</t>
        </is>
      </c>
      <c r="C12" s="2" t="inlineStr">
        <is>
          <t>Public consultation #2</t>
        </is>
      </c>
      <c r="D12" s="3" t="n">
        <v>46162</v>
      </c>
      <c r="E12" s="3" t="n">
        <v>46183</v>
      </c>
      <c r="F12" s="4">
        <f>E12-D12</f>
        <v/>
      </c>
      <c r="G12" s="5" t="n">
        <v>1</v>
      </c>
      <c r="H12" s="2" t="inlineStr">
        <is>
          <t>Tom Berger</t>
        </is>
      </c>
    </row>
    <row r="13">
      <c r="A13" s="6" t="inlineStr">
        <is>
          <t>12</t>
        </is>
      </c>
      <c r="B13" s="6" t="inlineStr">
        <is>
          <t>Design</t>
        </is>
      </c>
      <c r="C13" s="6" t="inlineStr">
        <is>
          <t>Layout Rev C (submission)</t>
        </is>
      </c>
      <c r="D13" s="7" t="n">
        <v>46160</v>
      </c>
      <c r="E13" s="7" t="n">
        <v>46178</v>
      </c>
      <c r="F13" s="8">
        <f>E13-D13</f>
        <v/>
      </c>
      <c r="G13" s="9" t="n">
        <v>1</v>
      </c>
      <c r="H13" s="6" t="inlineStr">
        <is>
          <t>Sofie Lindqvist</t>
        </is>
      </c>
    </row>
    <row r="14">
      <c r="A14" s="2" t="inlineStr">
        <is>
          <t>13</t>
        </is>
      </c>
      <c r="B14" s="2" t="inlineStr">
        <is>
          <t>Planning</t>
        </is>
      </c>
      <c r="C14" s="2" t="inlineStr">
        <is>
          <t>Planning application submitted (MDC/2026/0412)</t>
        </is>
      </c>
      <c r="D14" s="3" t="n">
        <v>46191</v>
      </c>
      <c r="E14" s="3" t="n">
        <v>46191</v>
      </c>
      <c r="F14" s="4">
        <f>E14-D14</f>
        <v/>
      </c>
      <c r="G14" s="5" t="n">
        <v>1</v>
      </c>
      <c r="H14" s="2" t="inlineStr">
        <is>
          <t>Charlotte Dubois</t>
        </is>
      </c>
    </row>
    <row r="15">
      <c r="A15" s="6" t="inlineStr">
        <is>
          <t>14</t>
        </is>
      </c>
      <c r="B15" s="6" t="inlineStr">
        <is>
          <t>Planning</t>
        </is>
      </c>
      <c r="C15" s="6" t="inlineStr">
        <is>
          <t>Validation and council consultation</t>
        </is>
      </c>
      <c r="D15" s="7" t="n">
        <v>46192</v>
      </c>
      <c r="E15" s="7" t="n">
        <v>46240</v>
      </c>
      <c r="F15" s="8">
        <f>E15-D15</f>
        <v/>
      </c>
      <c r="G15" s="9" t="n">
        <v>1</v>
      </c>
      <c r="H15" s="6" t="inlineStr">
        <is>
          <t>Charlotte Dubois</t>
        </is>
      </c>
    </row>
    <row r="16">
      <c r="A16" s="2" t="inlineStr">
        <is>
          <t>15</t>
        </is>
      </c>
      <c r="B16" s="2" t="inlineStr">
        <is>
          <t>Procurement</t>
        </is>
      </c>
      <c r="C16" s="2" t="inlineStr">
        <is>
          <t>EPC tender</t>
        </is>
      </c>
      <c r="D16" s="3" t="n">
        <v>46164</v>
      </c>
      <c r="E16" s="3" t="n">
        <v>46273</v>
      </c>
      <c r="F16" s="4">
        <f>E16-D16</f>
        <v/>
      </c>
      <c r="G16" s="5" t="n">
        <v>1</v>
      </c>
      <c r="H16" s="2" t="inlineStr">
        <is>
          <t>Liam McAllister</t>
        </is>
      </c>
    </row>
    <row r="17">
      <c r="A17" s="6" t="inlineStr">
        <is>
          <t>16</t>
        </is>
      </c>
      <c r="B17" s="6" t="inlineStr">
        <is>
          <t>Engagement</t>
        </is>
      </c>
      <c r="C17" s="6" t="inlineStr">
        <is>
          <t>Public consultation #3 (amendments)</t>
        </is>
      </c>
      <c r="D17" s="7" t="n">
        <v>46281</v>
      </c>
      <c r="E17" s="7" t="n">
        <v>46295</v>
      </c>
      <c r="F17" s="8">
        <f>E17-D17</f>
        <v/>
      </c>
      <c r="G17" s="9" t="n">
        <v>1</v>
      </c>
      <c r="H17" s="6" t="inlineStr">
        <is>
          <t>Tom Berger</t>
        </is>
      </c>
    </row>
    <row r="18">
      <c r="A18" s="2" t="inlineStr">
        <is>
          <t>17</t>
        </is>
      </c>
      <c r="B18" s="2" t="inlineStr">
        <is>
          <t>Planning</t>
        </is>
      </c>
      <c r="C18" s="2" t="inlineStr">
        <is>
          <t>Amendment pack to council</t>
        </is>
      </c>
      <c r="D18" s="3" t="n">
        <v>46286</v>
      </c>
      <c r="E18" s="3" t="n">
        <v>46311</v>
      </c>
      <c r="F18" s="4">
        <f>E18-D18</f>
        <v/>
      </c>
      <c r="G18" s="5" t="n">
        <v>0.55</v>
      </c>
      <c r="H18" s="2" t="inlineStr">
        <is>
          <t>Charlotte Dubois</t>
        </is>
      </c>
    </row>
    <row r="19">
      <c r="A19" s="6" t="inlineStr">
        <is>
          <t>18</t>
        </is>
      </c>
      <c r="B19" s="6" t="inlineStr">
        <is>
          <t>Planning</t>
        </is>
      </c>
      <c r="C19" s="6" t="inlineStr">
        <is>
          <t>Officer report and committee</t>
        </is>
      </c>
      <c r="D19" s="7" t="n">
        <v>46328</v>
      </c>
      <c r="E19" s="7" t="n">
        <v>46435</v>
      </c>
      <c r="F19" s="8">
        <f>E19-D19</f>
        <v/>
      </c>
      <c r="G19" s="9" t="n">
        <v>0</v>
      </c>
      <c r="H19" s="6" t="inlineStr">
        <is>
          <t>Charlotte Dubois</t>
        </is>
      </c>
    </row>
    <row r="20">
      <c r="A20" s="2" t="inlineStr">
        <is>
          <t>19</t>
        </is>
      </c>
      <c r="B20" s="2" t="inlineStr">
        <is>
          <t>Commercial</t>
        </is>
      </c>
      <c r="C20" s="2" t="inlineStr">
        <is>
          <t>EPC contract negotiation</t>
        </is>
      </c>
      <c r="D20" s="3" t="n">
        <v>46300</v>
      </c>
      <c r="E20" s="3" t="n">
        <v>46477</v>
      </c>
      <c r="F20" s="4">
        <f>E20-D20</f>
        <v/>
      </c>
      <c r="G20" s="5" t="n">
        <v>0.05</v>
      </c>
      <c r="H20" s="2" t="inlineStr">
        <is>
          <t>Lukas Meyer</t>
        </is>
      </c>
    </row>
    <row r="21">
      <c r="A21" s="6" t="inlineStr">
        <is>
          <t>20</t>
        </is>
      </c>
      <c r="B21" s="6" t="inlineStr">
        <is>
          <t>Commercial</t>
        </is>
      </c>
      <c r="C21" s="6" t="inlineStr">
        <is>
          <t>Financing and investment decision</t>
        </is>
      </c>
      <c r="D21" s="7" t="n">
        <v>46447</v>
      </c>
      <c r="E21" s="7" t="n">
        <v>46598</v>
      </c>
      <c r="F21" s="8">
        <f>E21-D21</f>
        <v/>
      </c>
      <c r="G21" s="9" t="n">
        <v>0</v>
      </c>
      <c r="H21" s="6" t="inlineStr">
        <is>
          <t>Jonas Richter</t>
        </is>
      </c>
    </row>
    <row r="22">
      <c r="A22" s="2" t="inlineStr">
        <is>
          <t>21</t>
        </is>
      </c>
      <c r="B22" s="2" t="inlineStr">
        <is>
          <t>Construction</t>
        </is>
      </c>
      <c r="C22" s="2" t="inlineStr">
        <is>
          <t>Construction (12 months)</t>
        </is>
      </c>
      <c r="D22" s="3" t="n">
        <v>46601</v>
      </c>
      <c r="E22" s="3" t="n">
        <v>46965</v>
      </c>
      <c r="F22" s="4">
        <f>E22-D22</f>
        <v/>
      </c>
      <c r="G22" s="5" t="n">
        <v>0</v>
      </c>
      <c r="H22" s="2" t="inlineStr">
        <is>
          <t>SunForge EPC</t>
        </is>
      </c>
    </row>
    <row r="23">
      <c r="A23" s="6" t="inlineStr">
        <is>
          <t>22</t>
        </is>
      </c>
      <c r="B23" s="6" t="inlineStr">
        <is>
          <t>Grid</t>
        </is>
      </c>
      <c r="C23" s="6" t="inlineStr">
        <is>
          <t>NordGrid works and energisation</t>
        </is>
      </c>
      <c r="D23" s="7" t="n">
        <v>46813</v>
      </c>
      <c r="E23" s="7" t="n">
        <v>47057</v>
      </c>
      <c r="F23" s="8">
        <f>E23-D23</f>
        <v/>
      </c>
      <c r="G23" s="9" t="n">
        <v>0</v>
      </c>
      <c r="H23" s="6" t="inlineStr">
        <is>
          <t>NordGrid Transmission</t>
        </is>
      </c>
    </row>
    <row r="24">
      <c r="A24" s="2" t="inlineStr">
        <is>
          <t>23</t>
        </is>
      </c>
      <c r="B24" s="2" t="inlineStr">
        <is>
          <t>Commissioning</t>
        </is>
      </c>
      <c r="C24" s="2" t="inlineStr">
        <is>
          <t>Commissioning and COD</t>
        </is>
      </c>
      <c r="D24" s="3" t="n">
        <v>46966</v>
      </c>
      <c r="E24" s="3" t="n">
        <v>47102</v>
      </c>
      <c r="F24" s="4">
        <f>E24-D24</f>
        <v/>
      </c>
      <c r="G24" s="5" t="n">
        <v>0</v>
      </c>
      <c r="H24" s="2" t="inlineStr">
        <is>
          <t>Liam McAllister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2025-12-08T10:00:00Z</dcterms:created>
  <dcterms:modified xmlns:dcterms="http://purl.org/dc/terms/" xmlns:xsi="http://www.w3.org/2001/XMLSchema-instance" xsi:type="dcterms:W3CDTF">2026-10-04T19:30:37Z</dcterms:modified>
  <cp:lastModifiedBy>Liam McAllister</cp:lastModifiedBy>
</cp:coreProperties>
</file>