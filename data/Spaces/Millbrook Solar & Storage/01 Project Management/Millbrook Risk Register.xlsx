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Heat map" sheetId="2" state="visible" r:id="rId2"/>
  </sheets>
  <definedNames>
    <definedName name="_xlnm._FilterDatabase" localSheetId="0" hidden="1">'Register'!$A$1:$J$19</definedName>
    <definedName name="_xlnm._FilterDatabase" localSheetId="1" hidden="1">'Heat map'!$A$3:$F$8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0B3C5D"/>
      <sz val="14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48" customWidth="1" min="3" max="3"/>
    <col width="10" customWidth="1" min="4" max="4"/>
    <col width="10" customWidth="1" min="5" max="5"/>
    <col width="8" customWidth="1" min="6" max="6"/>
    <col width="55" customWidth="1" min="7" max="7"/>
    <col width="18" customWidth="1" min="8" max="8"/>
    <col width="9" customWidth="1" min="9" max="9"/>
    <col width="12" customWidth="1" min="10" max="10"/>
  </cols>
  <sheetData>
    <row r="1">
      <c r="A1" s="1" t="inlineStr">
        <is>
          <t>Risk ID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Likelihood (1-5)</t>
        </is>
      </c>
      <c r="E1" s="1" t="inlineStr">
        <is>
          <t>Impact (1-5)</t>
        </is>
      </c>
      <c r="F1" s="1" t="inlineStr">
        <is>
          <t>Score</t>
        </is>
      </c>
      <c r="G1" s="1" t="inlineStr">
        <is>
          <t>Mitigation</t>
        </is>
      </c>
      <c r="H1" s="1" t="inlineStr">
        <is>
          <t>Owner</t>
        </is>
      </c>
      <c r="I1" s="1" t="inlineStr">
        <is>
          <t>Status</t>
        </is>
      </c>
      <c r="J1" s="1" t="inlineStr">
        <is>
          <t>Last review</t>
        </is>
      </c>
    </row>
    <row r="2">
      <c r="A2" s="2" t="inlineStr">
        <is>
          <t>MB-RISK-001</t>
        </is>
      </c>
      <c r="B2" s="2" t="inlineStr">
        <is>
          <t>Planning</t>
        </is>
      </c>
      <c r="C2" s="2" t="inlineStr">
        <is>
          <t>Planning refusal or committee deferral</t>
        </is>
      </c>
      <c r="D2" s="2" t="n">
        <v>3</v>
      </c>
      <c r="E2" s="2" t="n">
        <v>5</v>
      </c>
      <c r="F2" s="2">
        <f>D2*E2</f>
        <v/>
      </c>
      <c r="G2" s="2" t="inlineStr">
        <is>
          <t>Three consultations, amendment pack Oct 2026, early officer engagement</t>
        </is>
      </c>
      <c r="H2" s="2" t="inlineStr">
        <is>
          <t>Liam McAllister</t>
        </is>
      </c>
      <c r="I2" s="2" t="inlineStr">
        <is>
          <t>Open</t>
        </is>
      </c>
      <c r="J2" s="2" t="inlineStr">
        <is>
          <t>2026-09-29</t>
        </is>
      </c>
    </row>
    <row r="3">
      <c r="A3" s="3" t="inlineStr">
        <is>
          <t>MB-RISK-002</t>
        </is>
      </c>
      <c r="B3" s="3" t="inlineStr">
        <is>
          <t>Planning</t>
        </is>
      </c>
      <c r="C3" s="3" t="inlineStr">
        <is>
          <t>Objections on construction traffic on Mill Lane</t>
        </is>
      </c>
      <c r="D3" s="3" t="n">
        <v>4</v>
      </c>
      <c r="E3" s="3" t="n">
        <v>3</v>
      </c>
      <c r="F3" s="3">
        <f>D3*E3</f>
        <v/>
      </c>
      <c r="G3" s="3" t="inlineStr">
        <is>
          <t>Haul road from B4127, CTMP condition offered, no HGVs at school times</t>
        </is>
      </c>
      <c r="H3" s="3" t="inlineStr">
        <is>
          <t>Liam McAllister</t>
        </is>
      </c>
      <c r="I3" s="3" t="inlineStr">
        <is>
          <t>Open</t>
        </is>
      </c>
      <c r="J3" s="3" t="inlineStr">
        <is>
          <t>2026-09-29</t>
        </is>
      </c>
    </row>
    <row r="4">
      <c r="A4" s="2" t="inlineStr">
        <is>
          <t>MB-RISK-003</t>
        </is>
      </c>
      <c r="B4" s="2" t="inlineStr">
        <is>
          <t>Environment</t>
        </is>
      </c>
      <c r="C4" s="2" t="inlineStr">
        <is>
          <t>Skylark mitigation judged insufficient by Natural England</t>
        </is>
      </c>
      <c r="D4" s="2" t="n">
        <v>2</v>
      </c>
      <c r="E4" s="2" t="n">
        <v>4</v>
      </c>
      <c r="F4" s="2">
        <f>D4*E4</f>
        <v/>
      </c>
      <c r="G4" s="2" t="inlineStr">
        <is>
          <t>46 skylark plots, 5-year monitoring, Marlow Ecology attended consultee meeting</t>
        </is>
      </c>
      <c r="H4" s="2" t="inlineStr">
        <is>
          <t>Dr. Rachel Moss</t>
        </is>
      </c>
      <c r="I4" s="2" t="inlineStr">
        <is>
          <t>Open</t>
        </is>
      </c>
      <c r="J4" s="2" t="inlineStr">
        <is>
          <t>2026-09-29</t>
        </is>
      </c>
    </row>
    <row r="5">
      <c r="A5" s="3" t="inlineStr">
        <is>
          <t>MB-RISK-004</t>
        </is>
      </c>
      <c r="B5" s="3" t="inlineStr">
        <is>
          <t>Grid</t>
        </is>
      </c>
      <c r="C5" s="3" t="inlineStr">
        <is>
          <t>Planning delay beyond Mar 2027 puts grid date 31 Oct 2028 at risk</t>
        </is>
      </c>
      <c r="D5" s="3" t="n">
        <v>3</v>
      </c>
      <c r="E5" s="3" t="n">
        <v>4</v>
      </c>
      <c r="F5" s="3">
        <f>D5*E5</f>
        <v/>
      </c>
      <c r="G5" s="3" t="inlineStr">
        <is>
          <t>Monthly check-ins with NordGrid; modification application prepared as fallback</t>
        </is>
      </c>
      <c r="H5" s="3" t="inlineStr">
        <is>
          <t>Sofie Lindqvist</t>
        </is>
      </c>
      <c r="I5" s="3" t="inlineStr">
        <is>
          <t>Open</t>
        </is>
      </c>
      <c r="J5" s="3" t="inlineStr">
        <is>
          <t>2026-09-29</t>
        </is>
      </c>
    </row>
    <row r="6">
      <c r="A6" s="2" t="inlineStr">
        <is>
          <t>MB-RISK-005</t>
        </is>
      </c>
      <c r="B6" s="2" t="inlineStr">
        <is>
          <t>Commercial</t>
        </is>
      </c>
      <c r="C6" s="2" t="inlineStr">
        <is>
          <t>Module price increase before EPC award</t>
        </is>
      </c>
      <c r="D6" s="2" t="n">
        <v>3</v>
      </c>
      <c r="E6" s="2" t="n">
        <v>3</v>
      </c>
      <c r="F6" s="2">
        <f>D6*E6</f>
        <v/>
      </c>
      <c r="G6" s="2" t="inlineStr">
        <is>
          <t>Price validity to 30 Jun 2027 with index mechanism in SunForge offer</t>
        </is>
      </c>
      <c r="H6" s="2" t="inlineStr">
        <is>
          <t>Liam McAllister</t>
        </is>
      </c>
      <c r="I6" s="2" t="inlineStr">
        <is>
          <t>Open</t>
        </is>
      </c>
      <c r="J6" s="2" t="inlineStr">
        <is>
          <t>2026-09-29</t>
        </is>
      </c>
    </row>
    <row r="7">
      <c r="A7" s="3" t="inlineStr">
        <is>
          <t>MB-RISK-006</t>
        </is>
      </c>
      <c r="B7" s="3" t="inlineStr">
        <is>
          <t>Commercial</t>
        </is>
      </c>
      <c r="C7" s="3" t="inlineStr">
        <is>
          <t>SunForge capacity constraint in 2027/28</t>
        </is>
      </c>
      <c r="D7" s="3" t="n">
        <v>2</v>
      </c>
      <c r="E7" s="3" t="n">
        <v>3</v>
      </c>
      <c r="F7" s="3">
        <f>D7*E7</f>
        <v/>
      </c>
      <c r="G7" s="3" t="inlineStr">
        <is>
          <t>Reserve bidder Calder Solar kept warm</t>
        </is>
      </c>
      <c r="H7" s="3" t="inlineStr">
        <is>
          <t>Liam McAllister</t>
        </is>
      </c>
      <c r="I7" s="3" t="inlineStr">
        <is>
          <t>Open</t>
        </is>
      </c>
      <c r="J7" s="3" t="inlineStr">
        <is>
          <t>2026-09-29</t>
        </is>
      </c>
    </row>
    <row r="8">
      <c r="A8" s="2" t="inlineStr">
        <is>
          <t>MB-RISK-007</t>
        </is>
      </c>
      <c r="B8" s="2" t="inlineStr">
        <is>
          <t>HSE</t>
        </is>
      </c>
      <c r="C8" s="2" t="inlineStr">
        <is>
          <t>BESS fire safety concerns delay consent</t>
        </is>
      </c>
      <c r="D8" s="2" t="n">
        <v>3</v>
      </c>
      <c r="E8" s="2" t="n">
        <v>3</v>
      </c>
      <c r="F8" s="2">
        <f>D8*E8</f>
        <v/>
      </c>
      <c r="G8" s="2" t="inlineStr">
        <is>
          <t>Outline Battery Safety Management Plan reviewed with fire and rescue service</t>
        </is>
      </c>
      <c r="H8" s="2" t="inlineStr">
        <is>
          <t>Hannah Weber</t>
        </is>
      </c>
      <c r="I8" s="2" t="inlineStr">
        <is>
          <t>Open</t>
        </is>
      </c>
      <c r="J8" s="2" t="inlineStr">
        <is>
          <t>2026-09-29</t>
        </is>
      </c>
    </row>
    <row r="9">
      <c r="A9" s="3" t="inlineStr">
        <is>
          <t>MB-RISK-008</t>
        </is>
      </c>
      <c r="B9" s="3" t="inlineStr">
        <is>
          <t>Land</t>
        </is>
      </c>
      <c r="C9" s="3" t="inlineStr">
        <is>
          <t>Cable route easement with third landowner (Brook House) not agreed</t>
        </is>
      </c>
      <c r="D9" s="3" t="n">
        <v>2</v>
      </c>
      <c r="E9" s="3" t="n">
        <v>4</v>
      </c>
      <c r="F9" s="3">
        <f>D9*E9</f>
        <v/>
      </c>
      <c r="G9" s="3" t="inlineStr">
        <is>
          <t>Alternative route via B4127 verge assessed</t>
        </is>
      </c>
      <c r="H9" s="3" t="inlineStr">
        <is>
          <t>Priya Nair</t>
        </is>
      </c>
      <c r="I9" s="3" t="inlineStr">
        <is>
          <t>Open</t>
        </is>
      </c>
      <c r="J9" s="3" t="inlineStr">
        <is>
          <t>2026-09-29</t>
        </is>
      </c>
    </row>
    <row r="10">
      <c r="A10" s="2" t="inlineStr">
        <is>
          <t>MB-RISK-009</t>
        </is>
      </c>
      <c r="B10" s="2" t="inlineStr">
        <is>
          <t>Planning</t>
        </is>
      </c>
      <c r="C10" s="2" t="inlineStr">
        <is>
          <t>Glare complaint from Mill Lane Cottages residents</t>
        </is>
      </c>
      <c r="D10" s="2" t="n">
        <v>3</v>
      </c>
      <c r="E10" s="2" t="n">
        <v>2</v>
      </c>
      <c r="F10" s="2">
        <f>D10*E10</f>
        <v/>
      </c>
      <c r="G10" s="2" t="inlineStr">
        <is>
          <t>3 m hedgerow screen + temporary screen; independent study shared</t>
        </is>
      </c>
      <c r="H10" s="2" t="inlineStr">
        <is>
          <t>Liam McAllister</t>
        </is>
      </c>
      <c r="I10" s="2" t="inlineStr">
        <is>
          <t>Open</t>
        </is>
      </c>
      <c r="J10" s="2" t="inlineStr">
        <is>
          <t>2026-09-29</t>
        </is>
      </c>
    </row>
    <row r="11">
      <c r="A11" s="3" t="inlineStr">
        <is>
          <t>MB-RISK-010</t>
        </is>
      </c>
      <c r="B11" s="3" t="inlineStr">
        <is>
          <t>Environment</t>
        </is>
      </c>
      <c r="C11" s="3" t="inlineStr">
        <is>
          <t>Archaeology finds during construction</t>
        </is>
      </c>
      <c r="D11" s="3" t="n">
        <v>2</v>
      </c>
      <c r="E11" s="3" t="n">
        <v>3</v>
      </c>
      <c r="F11" s="3">
        <f>D11*E11</f>
        <v/>
      </c>
      <c r="G11" s="3" t="inlineStr">
        <is>
          <t>Geophysical survey done; trial trenching condition accepted</t>
        </is>
      </c>
      <c r="H11" s="3" t="inlineStr">
        <is>
          <t>Liam McAllister</t>
        </is>
      </c>
      <c r="I11" s="3" t="inlineStr">
        <is>
          <t>Open</t>
        </is>
      </c>
      <c r="J11" s="3" t="inlineStr">
        <is>
          <t>2026-09-29</t>
        </is>
      </c>
    </row>
    <row r="12">
      <c r="A12" s="2" t="inlineStr">
        <is>
          <t>MB-RISK-011</t>
        </is>
      </c>
      <c r="B12" s="2" t="inlineStr">
        <is>
          <t>Grid</t>
        </is>
      </c>
      <c r="C12" s="2" t="inlineStr">
        <is>
          <t>NordGrid reinforcement works at Millbrook substation delayed</t>
        </is>
      </c>
      <c r="D12" s="2" t="n">
        <v>2</v>
      </c>
      <c r="E12" s="2" t="n">
        <v>4</v>
      </c>
      <c r="F12" s="2">
        <f>D12*E12</f>
        <v/>
      </c>
      <c r="G12" s="2" t="inlineStr">
        <is>
          <t>Track NordGrid programme quarterly; contractual milestones in offer</t>
        </is>
      </c>
      <c r="H12" s="2" t="inlineStr">
        <is>
          <t>Sofie Lindqvist</t>
        </is>
      </c>
      <c r="I12" s="2" t="inlineStr">
        <is>
          <t>Open</t>
        </is>
      </c>
      <c r="J12" s="2" t="inlineStr">
        <is>
          <t>2026-09-29</t>
        </is>
      </c>
    </row>
    <row r="13">
      <c r="A13" s="3" t="inlineStr">
        <is>
          <t>MB-RISK-012</t>
        </is>
      </c>
      <c r="B13" s="3" t="inlineStr">
        <is>
          <t>Community</t>
        </is>
      </c>
      <c r="C13" s="3" t="inlineStr">
        <is>
          <t>Community fund governance disputes</t>
        </is>
      </c>
      <c r="D13" s="3" t="n">
        <v>2</v>
      </c>
      <c r="E13" s="3" t="n">
        <v>2</v>
      </c>
      <c r="F13" s="3">
        <f>D13*E13</f>
        <v/>
      </c>
      <c r="G13" s="3" t="inlineStr">
        <is>
          <t>Independent fund administrator; panel ToR agreed with parish council</t>
        </is>
      </c>
      <c r="H13" s="3" t="inlineStr">
        <is>
          <t>Tom Berger</t>
        </is>
      </c>
      <c r="I13" s="3" t="inlineStr">
        <is>
          <t>Open</t>
        </is>
      </c>
      <c r="J13" s="3" t="inlineStr">
        <is>
          <t>2026-09-29</t>
        </is>
      </c>
    </row>
    <row r="14">
      <c r="A14" s="2" t="inlineStr">
        <is>
          <t>MB-RISK-013</t>
        </is>
      </c>
      <c r="B14" s="2" t="inlineStr">
        <is>
          <t>Planning</t>
        </is>
      </c>
      <c r="C14" s="2" t="inlineStr">
        <is>
          <t>Judicial review after consent</t>
        </is>
      </c>
      <c r="D14" s="2" t="n">
        <v>1</v>
      </c>
      <c r="E14" s="2" t="n">
        <v>5</v>
      </c>
      <c r="F14" s="2">
        <f>D14*E14</f>
        <v/>
      </c>
      <c r="G14" s="2" t="inlineStr">
        <is>
          <t>Robust officer report; legal review of conditions</t>
        </is>
      </c>
      <c r="H14" s="2" t="inlineStr">
        <is>
          <t>Priya Nair</t>
        </is>
      </c>
      <c r="I14" s="2" t="inlineStr">
        <is>
          <t>Open</t>
        </is>
      </c>
      <c r="J14" s="2" t="inlineStr">
        <is>
          <t>2026-09-29</t>
        </is>
      </c>
    </row>
    <row r="15">
      <c r="A15" s="3" t="inlineStr">
        <is>
          <t>MB-RISK-014</t>
        </is>
      </c>
      <c r="B15" s="3" t="inlineStr">
        <is>
          <t>Environment</t>
        </is>
      </c>
      <c r="C15" s="3" t="inlineStr">
        <is>
          <t>Flood risk queried by Lead Local Flood Authority</t>
        </is>
      </c>
      <c r="D15" s="3" t="n">
        <v>2</v>
      </c>
      <c r="E15" s="3" t="n">
        <v>2</v>
      </c>
      <c r="F15" s="3">
        <f>D15*E15</f>
        <v/>
      </c>
      <c r="G15" s="3" t="inlineStr">
        <is>
          <t>Drainage strategy updated; LLFA no objection 11 Aug 2026</t>
        </is>
      </c>
      <c r="H15" s="3" t="inlineStr">
        <is>
          <t>Sofie Lindqvist</t>
        </is>
      </c>
      <c r="I15" s="3" t="inlineStr">
        <is>
          <t>Closed</t>
        </is>
      </c>
      <c r="J15" s="3" t="inlineStr">
        <is>
          <t>2026-09-29</t>
        </is>
      </c>
    </row>
    <row r="16">
      <c r="A16" s="2" t="inlineStr">
        <is>
          <t>MB-RISK-015</t>
        </is>
      </c>
      <c r="B16" s="2" t="inlineStr">
        <is>
          <t>Commercial</t>
        </is>
      </c>
      <c r="C16" s="2" t="inlineStr">
        <is>
          <t>Capex overrun above EUR 78 m</t>
        </is>
      </c>
      <c r="D16" s="2" t="n">
        <v>3</v>
      </c>
      <c r="E16" s="2" t="n">
        <v>3</v>
      </c>
      <c r="F16" s="2">
        <f>D16*E16</f>
        <v/>
      </c>
      <c r="G16" s="2" t="inlineStr">
        <is>
          <t>EUR 4.4 m contingency; P80 estimate EUR 80.1 m</t>
        </is>
      </c>
      <c r="H16" s="2" t="inlineStr">
        <is>
          <t>Liam McAllister</t>
        </is>
      </c>
      <c r="I16" s="2" t="inlineStr">
        <is>
          <t>Open</t>
        </is>
      </c>
      <c r="J16" s="2" t="inlineStr">
        <is>
          <t>2026-09-29</t>
        </is>
      </c>
    </row>
    <row r="17">
      <c r="A17" s="3" t="inlineStr">
        <is>
          <t>MB-RISK-016</t>
        </is>
      </c>
      <c r="B17" s="3" t="inlineStr">
        <is>
          <t>Planning</t>
        </is>
      </c>
      <c r="C17" s="3" t="inlineStr">
        <is>
          <t>Heritage objection (setting of St Mary's Church)</t>
        </is>
      </c>
      <c r="D17" s="3" t="n">
        <v>2</v>
      </c>
      <c r="E17" s="3" t="n">
        <v>3</v>
      </c>
      <c r="F17" s="3">
        <f>D17*E17</f>
        <v/>
      </c>
      <c r="G17" s="3" t="inlineStr">
        <is>
          <t>Field 7 removed; heritage statement; Historic England no comment</t>
        </is>
      </c>
      <c r="H17" s="3" t="inlineStr">
        <is>
          <t>Liam McAllister</t>
        </is>
      </c>
      <c r="I17" s="3" t="inlineStr">
        <is>
          <t>Closed</t>
        </is>
      </c>
      <c r="J17" s="3" t="inlineStr">
        <is>
          <t>2026-09-29</t>
        </is>
      </c>
    </row>
    <row r="18">
      <c r="A18" s="2" t="inlineStr">
        <is>
          <t>MB-RISK-017</t>
        </is>
      </c>
      <c r="B18" s="2" t="inlineStr">
        <is>
          <t>Land</t>
        </is>
      </c>
      <c r="C18" s="2" t="inlineStr">
        <is>
          <t>Landowner succession at Ashcombe Farm</t>
        </is>
      </c>
      <c r="D18" s="2" t="n">
        <v>1</v>
      </c>
      <c r="E18" s="2" t="n">
        <v>3</v>
      </c>
      <c r="F18" s="2">
        <f>D18*E18</f>
        <v/>
      </c>
      <c r="G18" s="2" t="inlineStr">
        <is>
          <t>Lease binds successors; registered at Land Registry</t>
        </is>
      </c>
      <c r="H18" s="2" t="inlineStr">
        <is>
          <t>Priya Nair</t>
        </is>
      </c>
      <c r="I18" s="2" t="inlineStr">
        <is>
          <t>Open</t>
        </is>
      </c>
      <c r="J18" s="2" t="inlineStr">
        <is>
          <t>2026-09-29</t>
        </is>
      </c>
    </row>
    <row r="19">
      <c r="A19" s="3" t="inlineStr">
        <is>
          <t>MB-RISK-018</t>
        </is>
      </c>
      <c r="B19" s="3" t="inlineStr">
        <is>
          <t>Environment</t>
        </is>
      </c>
      <c r="C19" s="3" t="inlineStr">
        <is>
          <t>Badger sett disturbance near hedgerow H12</t>
        </is>
      </c>
      <c r="D19" s="3" t="n">
        <v>2</v>
      </c>
      <c r="E19" s="3" t="n">
        <v>2</v>
      </c>
      <c r="F19" s="3">
        <f>D19*E19</f>
        <v/>
      </c>
      <c r="G19" s="3" t="inlineStr">
        <is>
          <t>30 m exclusion zone; licence if required</t>
        </is>
      </c>
      <c r="H19" s="3" t="inlineStr">
        <is>
          <t>Dr. Rachel Moss</t>
        </is>
      </c>
      <c r="I19" s="3" t="inlineStr">
        <is>
          <t>Open</t>
        </is>
      </c>
      <c r="J19" s="3" t="inlineStr">
        <is>
          <t>2026-09-29</t>
        </is>
      </c>
    </row>
  </sheetData>
  <autoFilter ref="A1:J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</cols>
  <sheetData>
    <row r="1">
      <c r="A1" s="4" t="inlineStr">
        <is>
          <t>Open risks by likelihood and impact</t>
        </is>
      </c>
    </row>
    <row r="3">
      <c r="A3" s="1" t="inlineStr">
        <is>
          <t>Impact \ Likelihood</t>
        </is>
      </c>
      <c r="B3" s="1" t="n">
        <v>1</v>
      </c>
      <c r="C3" s="1" t="n">
        <v>2</v>
      </c>
      <c r="D3" s="1" t="n">
        <v>3</v>
      </c>
      <c r="E3" s="1" t="n">
        <v>4</v>
      </c>
      <c r="F3" s="1" t="n">
        <v>5</v>
      </c>
    </row>
    <row r="4">
      <c r="A4" s="2" t="n">
        <v>5</v>
      </c>
      <c r="B4" s="2" t="n">
        <v>1</v>
      </c>
      <c r="C4" s="2" t="n">
        <v>0</v>
      </c>
      <c r="D4" s="2" t="n">
        <v>1</v>
      </c>
      <c r="E4" s="2" t="n">
        <v>0</v>
      </c>
      <c r="F4" s="2" t="n">
        <v>0</v>
      </c>
    </row>
    <row r="5">
      <c r="A5" s="3" t="n">
        <v>4</v>
      </c>
      <c r="B5" s="3" t="n">
        <v>0</v>
      </c>
      <c r="C5" s="3" t="n">
        <v>3</v>
      </c>
      <c r="D5" s="3" t="n">
        <v>1</v>
      </c>
      <c r="E5" s="3" t="n">
        <v>0</v>
      </c>
      <c r="F5" s="3" t="n">
        <v>0</v>
      </c>
    </row>
    <row r="6">
      <c r="A6" s="2" t="n">
        <v>3</v>
      </c>
      <c r="B6" s="2" t="n">
        <v>1</v>
      </c>
      <c r="C6" s="2" t="n">
        <v>2</v>
      </c>
      <c r="D6" s="2" t="n">
        <v>3</v>
      </c>
      <c r="E6" s="2" t="n">
        <v>1</v>
      </c>
      <c r="F6" s="2" t="n">
        <v>0</v>
      </c>
    </row>
    <row r="7">
      <c r="A7" s="3" t="n">
        <v>2</v>
      </c>
      <c r="B7" s="3" t="n">
        <v>0</v>
      </c>
      <c r="C7" s="3" t="n">
        <v>2</v>
      </c>
      <c r="D7" s="3" t="n">
        <v>1</v>
      </c>
      <c r="E7" s="3" t="n">
        <v>0</v>
      </c>
      <c r="F7" s="3" t="n">
        <v>0</v>
      </c>
    </row>
    <row r="8">
      <c r="A8" s="2" t="n">
        <v>1</v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</row>
  </sheetData>
  <autoFilter ref="A3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Liam McAllister</dc:creator>
  <dcterms:created xmlns:dcterms="http://purl.org/dc/terms/" xmlns:xsi="http://www.w3.org/2001/XMLSchema-instance" xsi:type="dcterms:W3CDTF">2025-12-10T10:00:00Z</dcterms:created>
  <dcterms:modified xmlns:dcterms="http://purl.org/dc/terms/" xmlns:xsi="http://www.w3.org/2001/XMLSchema-instance" xsi:type="dcterms:W3CDTF">2026-10-04T19:30:37Z</dcterms:modified>
  <cp:lastModifiedBy>Liam McAllister</cp:lastModifiedBy>
</cp:coreProperties>
</file>