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-1 Baseline habitats" sheetId="2" state="visible" r:id="rId2"/>
    <sheet xmlns:r="http://schemas.openxmlformats.org/officeDocument/2006/relationships" name="A-2 Post-development" sheetId="3" state="visible" r:id="rId3"/>
    <sheet xmlns:r="http://schemas.openxmlformats.org/officeDocument/2006/relationships" name="B Hedgerows" sheetId="4" state="visible" r:id="rId4"/>
  </sheets>
  <definedNames>
    <definedName name="_xlnm._FilterDatabase" localSheetId="0" hidden="1">'Summary'!$A$1:$E$6</definedName>
    <definedName name="_xlnm._FilterDatabase" localSheetId="1" hidden="1">'A-1 Baseline habitats'!$A$1:$H$7</definedName>
    <definedName name="_xlnm._FilterDatabase" localSheetId="2" hidden="1">'A-2 Post-development'!$A$1:$H$8</definedName>
    <definedName name="_xlnm._FilterDatabase" localSheetId="3" hidden="1">'B Hedgerows'!$A$1:$G$5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2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2" fontId="1" fillId="3" borderId="1" pivotButton="0" quotePrefix="0" xfId="0"/>
    <xf numFmtId="164" fontId="1" fillId="3" borderId="1" pivotButton="0" quotePrefix="0" xfId="0"/>
    <xf numFmtId="165" fontId="1" fillId="0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Unit type</t>
        </is>
      </c>
      <c r="B1" s="1" t="inlineStr">
        <is>
          <t>Baseline</t>
        </is>
      </c>
      <c r="C1" s="1" t="inlineStr">
        <is>
          <t>Post-development</t>
        </is>
      </c>
      <c r="D1" s="1" t="inlineStr">
        <is>
          <t>Net change</t>
        </is>
      </c>
      <c r="E1" s="1" t="inlineStr">
        <is>
          <t>% change</t>
        </is>
      </c>
    </row>
    <row r="2">
      <c r="A2" s="2" t="inlineStr">
        <is>
          <t>Habitat units</t>
        </is>
      </c>
      <c r="B2" s="3" t="n">
        <v>297.2</v>
      </c>
      <c r="C2" s="3" t="n">
        <v>356.96</v>
      </c>
      <c r="D2" s="3">
        <f>C2-B2</f>
        <v/>
      </c>
      <c r="E2" s="4">
        <f>D2/B2</f>
        <v/>
      </c>
    </row>
    <row r="3">
      <c r="A3" s="5" t="inlineStr">
        <is>
          <t>Hedgerow units</t>
        </is>
      </c>
      <c r="B3" s="6" t="n">
        <v>34.4</v>
      </c>
      <c r="C3" s="6" t="n">
        <v>57.2</v>
      </c>
      <c r="D3" s="6">
        <f>C3-B3</f>
        <v/>
      </c>
      <c r="E3" s="7">
        <f>D3/B3</f>
        <v/>
      </c>
    </row>
    <row r="4">
      <c r="A4" s="2" t="inlineStr">
        <is>
          <t>Watercourse units</t>
        </is>
      </c>
      <c r="B4" s="3" t="n">
        <v>4.4</v>
      </c>
      <c r="C4" s="3" t="n">
        <v>5.5</v>
      </c>
      <c r="D4" s="3">
        <f>C4-B4</f>
        <v/>
      </c>
      <c r="E4" s="4">
        <f>D4/B4</f>
        <v/>
      </c>
    </row>
    <row r="5">
      <c r="A5" s="5" t="inlineStr"/>
      <c r="B5" s="6" t="inlineStr"/>
      <c r="C5" s="6" t="inlineStr"/>
      <c r="D5" s="6" t="inlineStr"/>
      <c r="E5" s="7" t="inlineStr"/>
    </row>
    <row r="6">
      <c r="A6" s="2" t="inlineStr">
        <is>
          <t>Result: +20.1 % habitat units – target 20 % met</t>
        </is>
      </c>
      <c r="B6" s="3" t="inlineStr"/>
      <c r="C6" s="3" t="inlineStr"/>
      <c r="D6" s="3" t="inlineStr"/>
      <c r="E6" s="4" t="inlineStr"/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2" customWidth="1" min="4" max="4"/>
    <col width="18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Habitat</t>
        </is>
      </c>
      <c r="B1" s="1" t="inlineStr">
        <is>
          <t>Area (ha)</t>
        </is>
      </c>
      <c r="C1" s="1" t="inlineStr">
        <is>
          <t>Distinctiveness</t>
        </is>
      </c>
      <c r="D1" s="1" t="inlineStr">
        <is>
          <t>Distinctiveness score</t>
        </is>
      </c>
      <c r="E1" s="1" t="inlineStr">
        <is>
          <t>Condition</t>
        </is>
      </c>
      <c r="F1" s="1" t="inlineStr">
        <is>
          <t>Condition score</t>
        </is>
      </c>
      <c r="G1" s="1" t="inlineStr">
        <is>
          <t>Temporal multiplier</t>
        </is>
      </c>
      <c r="H1" s="1" t="inlineStr">
        <is>
          <t>Habitat units</t>
        </is>
      </c>
    </row>
    <row r="2">
      <c r="A2" s="2" t="inlineStr">
        <is>
          <t>Cropland – cereal crops</t>
        </is>
      </c>
      <c r="B2" s="8" t="n">
        <v>128.4</v>
      </c>
      <c r="C2" s="2" t="inlineStr">
        <is>
          <t>Low</t>
        </is>
      </c>
      <c r="D2" s="2" t="n">
        <v>2</v>
      </c>
      <c r="E2" s="2" t="inlineStr">
        <is>
          <t>N/A – agricultural</t>
        </is>
      </c>
      <c r="F2" s="2" t="n">
        <v>1</v>
      </c>
      <c r="G2" s="2" t="n">
        <v>1</v>
      </c>
      <c r="H2" s="3">
        <f>B2*D2*F2*G2</f>
        <v/>
      </c>
    </row>
    <row r="3">
      <c r="A3" s="5" t="inlineStr">
        <is>
          <t>Grassland – modified grassland</t>
        </is>
      </c>
      <c r="B3" s="9" t="n">
        <v>9.800000000000001</v>
      </c>
      <c r="C3" s="5" t="inlineStr">
        <is>
          <t>Low</t>
        </is>
      </c>
      <c r="D3" s="5" t="n">
        <v>2</v>
      </c>
      <c r="E3" s="5" t="inlineStr">
        <is>
          <t>Poor</t>
        </is>
      </c>
      <c r="F3" s="5" t="n">
        <v>1</v>
      </c>
      <c r="G3" s="5" t="n">
        <v>1</v>
      </c>
      <c r="H3" s="6">
        <f>B3*D3*F3*G3</f>
        <v/>
      </c>
    </row>
    <row r="4">
      <c r="A4" s="2" t="inlineStr">
        <is>
          <t>Heathland and shrub – mixed scrub</t>
        </is>
      </c>
      <c r="B4" s="8" t="n">
        <v>1.6</v>
      </c>
      <c r="C4" s="2" t="inlineStr">
        <is>
          <t>Medium</t>
        </is>
      </c>
      <c r="D4" s="2" t="n">
        <v>4</v>
      </c>
      <c r="E4" s="2" t="inlineStr">
        <is>
          <t>Moderate</t>
        </is>
      </c>
      <c r="F4" s="2" t="n">
        <v>2</v>
      </c>
      <c r="G4" s="2" t="n">
        <v>1</v>
      </c>
      <c r="H4" s="3">
        <f>B4*D4*F4*G4</f>
        <v/>
      </c>
    </row>
    <row r="5">
      <c r="A5" s="5" t="inlineStr">
        <is>
          <t>Woodland – other woodland; broadleaved</t>
        </is>
      </c>
      <c r="B5" s="9" t="n">
        <v>1</v>
      </c>
      <c r="C5" s="5" t="inlineStr">
        <is>
          <t>Medium</t>
        </is>
      </c>
      <c r="D5" s="5" t="n">
        <v>4</v>
      </c>
      <c r="E5" s="5" t="inlineStr">
        <is>
          <t>Moderate</t>
        </is>
      </c>
      <c r="F5" s="5" t="n">
        <v>2</v>
      </c>
      <c r="G5" s="5" t="n">
        <v>1</v>
      </c>
      <c r="H5" s="6">
        <f>B5*D5*F5*G5</f>
        <v/>
      </c>
    </row>
    <row r="6">
      <c r="A6" s="2" t="inlineStr">
        <is>
          <t>Urban – developed land; sealed surface (farm tracks)</t>
        </is>
      </c>
      <c r="B6" s="8" t="n">
        <v>1.2</v>
      </c>
      <c r="C6" s="2" t="inlineStr">
        <is>
          <t>V. Low</t>
        </is>
      </c>
      <c r="D6" s="2" t="n">
        <v>0</v>
      </c>
      <c r="E6" s="2" t="inlineStr">
        <is>
          <t>N/A</t>
        </is>
      </c>
      <c r="F6" s="2" t="n">
        <v>1</v>
      </c>
      <c r="G6" s="2" t="n">
        <v>1</v>
      </c>
      <c r="H6" s="3">
        <f>B6*D6*F6*G6</f>
        <v/>
      </c>
    </row>
    <row r="7">
      <c r="A7" s="5" t="inlineStr">
        <is>
          <t>Total</t>
        </is>
      </c>
      <c r="B7" s="9">
        <f>SUM(B2:B6)</f>
        <v/>
      </c>
      <c r="C7" s="5" t="inlineStr"/>
      <c r="D7" s="5" t="inlineStr"/>
      <c r="E7" s="5" t="inlineStr"/>
      <c r="F7" s="5" t="inlineStr"/>
      <c r="G7" s="5" t="inlineStr"/>
      <c r="H7" s="6">
        <f>SUM(H2:H6)</f>
        <v/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2" customWidth="1" min="4" max="4"/>
    <col width="18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Habitat</t>
        </is>
      </c>
      <c r="B1" s="1" t="inlineStr">
        <is>
          <t>Area (ha)</t>
        </is>
      </c>
      <c r="C1" s="1" t="inlineStr">
        <is>
          <t>Distinctiveness</t>
        </is>
      </c>
      <c r="D1" s="1" t="inlineStr">
        <is>
          <t>Distinctiveness score</t>
        </is>
      </c>
      <c r="E1" s="1" t="inlineStr">
        <is>
          <t>Condition</t>
        </is>
      </c>
      <c r="F1" s="1" t="inlineStr">
        <is>
          <t>Condition score</t>
        </is>
      </c>
      <c r="G1" s="1" t="inlineStr">
        <is>
          <t>Temporal multiplier</t>
        </is>
      </c>
      <c r="H1" s="1" t="inlineStr">
        <is>
          <t>Habitat units</t>
        </is>
      </c>
    </row>
    <row r="2">
      <c r="A2" s="2" t="inlineStr">
        <is>
          <t>Grassland – modified grassland (under and between arrays)</t>
        </is>
      </c>
      <c r="B2" s="8" t="n">
        <v>109.2</v>
      </c>
      <c r="C2" s="2" t="inlineStr">
        <is>
          <t>Low</t>
        </is>
      </c>
      <c r="D2" s="2" t="n">
        <v>2</v>
      </c>
      <c r="E2" s="2" t="inlineStr">
        <is>
          <t>Poor</t>
        </is>
      </c>
      <c r="F2" s="2" t="n">
        <v>1</v>
      </c>
      <c r="G2" s="2" t="n">
        <v>1</v>
      </c>
      <c r="H2" s="3">
        <f>B2*D2*F2*G2</f>
        <v/>
      </c>
    </row>
    <row r="3">
      <c r="A3" s="5" t="inlineStr">
        <is>
          <t>Grassland – other neutral grassland (wildflower margins)</t>
        </is>
      </c>
      <c r="B3" s="9" t="n">
        <v>12.8</v>
      </c>
      <c r="C3" s="5" t="inlineStr">
        <is>
          <t>Medium</t>
        </is>
      </c>
      <c r="D3" s="5" t="n">
        <v>4</v>
      </c>
      <c r="E3" s="5" t="inlineStr">
        <is>
          <t>Moderate</t>
        </is>
      </c>
      <c r="F3" s="5" t="n">
        <v>2</v>
      </c>
      <c r="G3" s="5" t="n">
        <v>0.9</v>
      </c>
      <c r="H3" s="6">
        <f>B3*D3*F3*G3</f>
        <v/>
      </c>
    </row>
    <row r="4">
      <c r="A4" s="2" t="inlineStr">
        <is>
          <t>Cropland – retained arable with skylark plots</t>
        </is>
      </c>
      <c r="B4" s="8" t="n">
        <v>12.8</v>
      </c>
      <c r="C4" s="2" t="inlineStr">
        <is>
          <t>Low</t>
        </is>
      </c>
      <c r="D4" s="2" t="n">
        <v>2</v>
      </c>
      <c r="E4" s="2" t="inlineStr">
        <is>
          <t>N/A – agricultural</t>
        </is>
      </c>
      <c r="F4" s="2" t="n">
        <v>1</v>
      </c>
      <c r="G4" s="2" t="n">
        <v>1</v>
      </c>
      <c r="H4" s="3">
        <f>B4*D4*F4*G4</f>
        <v/>
      </c>
    </row>
    <row r="5">
      <c r="A5" s="5" t="inlineStr">
        <is>
          <t>Heathland and shrub – mixed scrub (retained)</t>
        </is>
      </c>
      <c r="B5" s="9" t="n">
        <v>1.6</v>
      </c>
      <c r="C5" s="5" t="inlineStr">
        <is>
          <t>Medium</t>
        </is>
      </c>
      <c r="D5" s="5" t="n">
        <v>4</v>
      </c>
      <c r="E5" s="5" t="inlineStr">
        <is>
          <t>Moderate</t>
        </is>
      </c>
      <c r="F5" s="5" t="n">
        <v>2</v>
      </c>
      <c r="G5" s="5" t="n">
        <v>1</v>
      </c>
      <c r="H5" s="6">
        <f>B5*D5*F5*G5</f>
        <v/>
      </c>
    </row>
    <row r="6">
      <c r="A6" s="2" t="inlineStr">
        <is>
          <t>Woodland – other woodland; broadleaved (retained)</t>
        </is>
      </c>
      <c r="B6" s="8" t="n">
        <v>1</v>
      </c>
      <c r="C6" s="2" t="inlineStr">
        <is>
          <t>Medium</t>
        </is>
      </c>
      <c r="D6" s="2" t="n">
        <v>4</v>
      </c>
      <c r="E6" s="2" t="inlineStr">
        <is>
          <t>Moderate</t>
        </is>
      </c>
      <c r="F6" s="2" t="n">
        <v>2</v>
      </c>
      <c r="G6" s="2" t="n">
        <v>1</v>
      </c>
      <c r="H6" s="3">
        <f>B6*D6*F6*G6</f>
        <v/>
      </c>
    </row>
    <row r="7">
      <c r="A7" s="5" t="inlineStr">
        <is>
          <t>Urban – developed land (BESS, substation, tracks)</t>
        </is>
      </c>
      <c r="B7" s="9" t="n">
        <v>4.6</v>
      </c>
      <c r="C7" s="5" t="inlineStr">
        <is>
          <t>V. Low</t>
        </is>
      </c>
      <c r="D7" s="5" t="n">
        <v>0</v>
      </c>
      <c r="E7" s="5" t="inlineStr">
        <is>
          <t>N/A</t>
        </is>
      </c>
      <c r="F7" s="5" t="n">
        <v>1</v>
      </c>
      <c r="G7" s="5" t="n">
        <v>1</v>
      </c>
      <c r="H7" s="6">
        <f>B7*D7*F7*G7</f>
        <v/>
      </c>
    </row>
    <row r="8">
      <c r="A8" s="2" t="inlineStr">
        <is>
          <t>Total</t>
        </is>
      </c>
      <c r="B8" s="8">
        <f>SUM(B2:B7)</f>
        <v/>
      </c>
      <c r="C8" s="2" t="inlineStr"/>
      <c r="D8" s="2" t="inlineStr"/>
      <c r="E8" s="2" t="inlineStr"/>
      <c r="F8" s="2" t="inlineStr"/>
      <c r="G8" s="2" t="inlineStr"/>
      <c r="H8" s="3">
        <f>SUM(H2:H7)</f>
        <v/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6" customWidth="1" min="3" max="3"/>
    <col width="11" customWidth="1" min="4" max="4"/>
    <col width="16" customWidth="1" min="5" max="5"/>
    <col width="4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Length (km)</t>
        </is>
      </c>
      <c r="C1" s="1" t="inlineStr">
        <is>
          <t>Type</t>
        </is>
      </c>
      <c r="D1" s="1" t="inlineStr">
        <is>
          <t>Condition</t>
        </is>
      </c>
      <c r="E1" s="1" t="inlineStr">
        <is>
          <t>Baseline units</t>
        </is>
      </c>
      <c r="F1" s="1" t="inlineStr">
        <is>
          <t>Post action</t>
        </is>
      </c>
      <c r="G1" s="1" t="inlineStr">
        <is>
          <t>Post units</t>
        </is>
      </c>
    </row>
    <row r="2">
      <c r="A2" s="2" t="inlineStr">
        <is>
          <t>H-native</t>
        </is>
      </c>
      <c r="B2" s="2" t="n">
        <v>4.8</v>
      </c>
      <c r="C2" s="2" t="inlineStr">
        <is>
          <t>Native hedgerow</t>
        </is>
      </c>
      <c r="D2" s="2" t="inlineStr">
        <is>
          <t>Moderate</t>
        </is>
      </c>
      <c r="E2" s="3" t="n">
        <v>19.2</v>
      </c>
      <c r="F2" s="2" t="inlineStr">
        <is>
          <t>0.6 km removed; 4.2 km enhanced to good</t>
        </is>
      </c>
      <c r="G2" s="3" t="n">
        <v>25.2</v>
      </c>
    </row>
    <row r="3">
      <c r="A3" s="5" t="inlineStr">
        <is>
          <t>H-rich</t>
        </is>
      </c>
      <c r="B3" s="5" t="n">
        <v>1.9</v>
      </c>
      <c r="C3" s="5" t="inlineStr">
        <is>
          <t>Species-rich native hedgerow</t>
        </is>
      </c>
      <c r="D3" s="5" t="inlineStr">
        <is>
          <t>Moderate</t>
        </is>
      </c>
      <c r="E3" s="6" t="n">
        <v>15.2</v>
      </c>
      <c r="F3" s="5" t="inlineStr">
        <is>
          <t>Retained</t>
        </is>
      </c>
      <c r="G3" s="6" t="n">
        <v>15.2</v>
      </c>
    </row>
    <row r="4">
      <c r="A4" s="2" t="inlineStr">
        <is>
          <t>H-new</t>
        </is>
      </c>
      <c r="B4" s="2" t="n">
        <v>0</v>
      </c>
      <c r="C4" s="2" t="inlineStr">
        <is>
          <t>Species-rich native hedgerow (new)</t>
        </is>
      </c>
      <c r="D4" s="2" t="inlineStr">
        <is>
          <t>–</t>
        </is>
      </c>
      <c r="E4" s="3" t="n">
        <v>0</v>
      </c>
      <c r="F4" s="2" t="inlineStr">
        <is>
          <t>2.4 km planted</t>
        </is>
      </c>
      <c r="G4" s="3" t="n">
        <v>16.8</v>
      </c>
    </row>
    <row r="5">
      <c r="A5" s="5" t="inlineStr">
        <is>
          <t>Total</t>
        </is>
      </c>
      <c r="B5" s="5" t="inlineStr"/>
      <c r="C5" s="5" t="inlineStr"/>
      <c r="D5" s="5" t="inlineStr"/>
      <c r="E5" s="6">
        <f>SUM(E2:E4)</f>
        <v/>
      </c>
      <c r="F5" s="5" t="inlineStr"/>
      <c r="G5" s="6">
        <f>SUM(G2:G4)</f>
        <v/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2026-05-26T10:00:00Z</dcterms:created>
  <dcterms:modified xmlns:dcterms="http://purl.org/dc/terms/" xmlns:xsi="http://www.w3.org/2001/XMLSchema-instance" xsi:type="dcterms:W3CDTF">2026-10-04T19:30:38Z</dcterms:modified>
  <cp:lastModifiedBy>Liam McAllister</cp:lastModifiedBy>
</cp:coreProperties>
</file>