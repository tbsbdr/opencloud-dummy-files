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Price breakdown" sheetId="2" state="visible" r:id="rId2"/>
    <sheet xmlns:r="http://schemas.openxmlformats.org/officeDocument/2006/relationships" name="Clarifications" sheetId="3" state="visible" r:id="rId3"/>
  </sheets>
  <definedNames>
    <definedName name="_xlnm._FilterDatabase" localSheetId="0" hidden="1">'Scoring'!$A$1:$E$6</definedName>
    <definedName name="_xlnm._FilterDatabase" localSheetId="1" hidden="1">'Price breakdown'!$A$1:$D$9</definedName>
    <definedName name="_xlnm._FilterDatabase" localSheetId="2" hidden="1">'Clarifications'!$A$1:$D$7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8" customWidth="1" min="3" max="3"/>
    <col width="31" customWidth="1" min="4" max="4"/>
    <col width="27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SunForge EPC Ltd</t>
        </is>
      </c>
      <c r="D1" s="1" t="inlineStr">
        <is>
          <t>Calder Solar Construction Ltd</t>
        </is>
      </c>
      <c r="E1" s="1" t="inlineStr">
        <is>
          <t>Meridian Power Build GmbH</t>
        </is>
      </c>
    </row>
    <row r="2">
      <c r="A2" s="2" t="inlineStr">
        <is>
          <t>Technical</t>
        </is>
      </c>
      <c r="B2" s="3" t="n">
        <v>0.4</v>
      </c>
      <c r="C2" s="4" t="n">
        <v>84</v>
      </c>
      <c r="D2" s="4" t="n">
        <v>79</v>
      </c>
      <c r="E2" s="4" t="n">
        <v>68</v>
      </c>
    </row>
    <row r="3">
      <c r="A3" s="5" t="inlineStr">
        <is>
          <t>Commercial</t>
        </is>
      </c>
      <c r="B3" s="6" t="n">
        <v>0.3</v>
      </c>
      <c r="C3" s="7" t="n">
        <v>81</v>
      </c>
      <c r="D3" s="7" t="n">
        <v>74</v>
      </c>
      <c r="E3" s="7" t="n">
        <v>79</v>
      </c>
    </row>
    <row r="4">
      <c r="A4" s="2" t="inlineStr">
        <is>
          <t>HSE</t>
        </is>
      </c>
      <c r="B4" s="3" t="n">
        <v>0.15</v>
      </c>
      <c r="C4" s="4" t="n">
        <v>88</v>
      </c>
      <c r="D4" s="4" t="n">
        <v>82</v>
      </c>
      <c r="E4" s="4" t="n">
        <v>71</v>
      </c>
    </row>
    <row r="5">
      <c r="A5" s="5" t="inlineStr">
        <is>
          <t>Programme</t>
        </is>
      </c>
      <c r="B5" s="6" t="n">
        <v>0.15</v>
      </c>
      <c r="C5" s="7" t="n">
        <v>80</v>
      </c>
      <c r="D5" s="7" t="n">
        <v>77</v>
      </c>
      <c r="E5" s="7" t="n">
        <v>66</v>
      </c>
    </row>
    <row r="6">
      <c r="A6" s="2" t="inlineStr">
        <is>
          <t>Weighted score</t>
        </is>
      </c>
      <c r="B6" s="3">
        <f>SUM(B2:B5)</f>
        <v/>
      </c>
      <c r="C6" s="4">
        <f>SUMPRODUCT($B$2:$B$5,C2:C5)</f>
        <v/>
      </c>
      <c r="D6" s="4">
        <f>SUMPRODUCT($B$2:$B$5,D2:D5)</f>
        <v/>
      </c>
      <c r="E6" s="4">
        <f>SUMPRODUCT($B$2:$B$5,E2:E5)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31" customWidth="1" min="3" max="3"/>
    <col width="27" customWidth="1" min="4" max="4"/>
  </cols>
  <sheetData>
    <row r="1">
      <c r="A1" s="1" t="inlineStr">
        <is>
          <t>Price element (EUR m)</t>
        </is>
      </c>
      <c r="B1" s="1" t="inlineStr">
        <is>
          <t>SunForge EPC Ltd</t>
        </is>
      </c>
      <c r="C1" s="1" t="inlineStr">
        <is>
          <t>Calder Solar Construction Ltd</t>
        </is>
      </c>
      <c r="D1" s="1" t="inlineStr">
        <is>
          <t>Meridian Power Build GmbH</t>
        </is>
      </c>
    </row>
    <row r="2">
      <c r="A2" s="2" t="inlineStr">
        <is>
          <t>Modules (supply)</t>
        </is>
      </c>
      <c r="B2" s="4" t="n">
        <v>18.9</v>
      </c>
      <c r="C2" s="4" t="n">
        <v>19.3</v>
      </c>
      <c r="D2" s="4" t="n">
        <v>18.4</v>
      </c>
    </row>
    <row r="3">
      <c r="A3" s="5" t="inlineStr">
        <is>
          <t>Trackers incl. foundations</t>
        </is>
      </c>
      <c r="B3" s="7" t="n">
        <v>11.2</v>
      </c>
      <c r="C3" s="7" t="n">
        <v>11.6</v>
      </c>
      <c r="D3" s="7" t="n">
        <v>9.6</v>
      </c>
    </row>
    <row r="4">
      <c r="A4" s="2" t="inlineStr">
        <is>
          <t>Inverters and MV</t>
        </is>
      </c>
      <c r="B4" s="4" t="n">
        <v>6.8</v>
      </c>
      <c r="C4" s="4" t="n">
        <v>7</v>
      </c>
      <c r="D4" s="4" t="n">
        <v>6.9</v>
      </c>
    </row>
    <row r="5">
      <c r="A5" s="5" t="inlineStr">
        <is>
          <t>Civils, fencing, haul road</t>
        </is>
      </c>
      <c r="B5" s="7" t="n">
        <v>5.1</v>
      </c>
      <c r="C5" s="7" t="n">
        <v>5.6</v>
      </c>
      <c r="D5" s="7" t="n">
        <v>5.4</v>
      </c>
    </row>
    <row r="6">
      <c r="A6" s="2" t="inlineStr">
        <is>
          <t>Electrical BoP and substation</t>
        </is>
      </c>
      <c r="B6" s="4" t="n">
        <v>5.6</v>
      </c>
      <c r="C6" s="4" t="n">
        <v>5.8</v>
      </c>
      <c r="D6" s="4" t="n">
        <v>6.1</v>
      </c>
    </row>
    <row r="7">
      <c r="A7" s="5" t="inlineStr">
        <is>
          <t>Design, PM, commissioning</t>
        </is>
      </c>
      <c r="B7" s="7" t="n">
        <v>2</v>
      </c>
      <c r="C7" s="7" t="n">
        <v>1.9</v>
      </c>
      <c r="D7" s="7" t="n">
        <v>2.5</v>
      </c>
    </row>
    <row r="8">
      <c r="A8" s="2" t="inlineStr">
        <is>
          <t>Total lump sum</t>
        </is>
      </c>
      <c r="B8" s="4">
        <f>SUM(B2:B7)</f>
        <v/>
      </c>
      <c r="C8" s="4">
        <f>SUM(C2:C7)</f>
        <v/>
      </c>
      <c r="D8" s="4">
        <f>SUM(D2:D7)</f>
        <v/>
      </c>
    </row>
    <row r="9">
      <c r="A9" s="5" t="inlineStr">
        <is>
          <t>Provisional sums excluded</t>
        </is>
      </c>
      <c r="B9" s="7" t="n">
        <v>0</v>
      </c>
      <c r="C9" s="7" t="n">
        <v>0</v>
      </c>
      <c r="D9" s="7" t="n">
        <v>1.8</v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1" customWidth="1" min="3" max="3"/>
    <col width="43" customWidth="1" min="4" max="4"/>
  </cols>
  <sheetData>
    <row r="1">
      <c r="A1" s="1" t="inlineStr">
        <is>
          <t>#</t>
        </is>
      </c>
      <c r="B1" s="1" t="inlineStr">
        <is>
          <t>Bidder</t>
        </is>
      </c>
      <c r="C1" s="1" t="inlineStr">
        <is>
          <t>Question</t>
        </is>
      </c>
      <c r="D1" s="1" t="inlineStr">
        <is>
          <t>Answer received</t>
        </is>
      </c>
    </row>
    <row r="2">
      <c r="A2" s="2" t="n">
        <v>1</v>
      </c>
      <c r="B2" s="2" t="inlineStr">
        <is>
          <t>SunForge</t>
        </is>
      </c>
      <c r="C2" s="2" t="inlineStr">
        <is>
          <t>Confirm haul road included in lump sum</t>
        </is>
      </c>
      <c r="D2" s="2" t="inlineStr">
        <is>
          <t>Yes – 2026-07-24</t>
        </is>
      </c>
    </row>
    <row r="3">
      <c r="A3" s="5" t="n">
        <v>2</v>
      </c>
      <c r="B3" s="5" t="inlineStr">
        <is>
          <t>SunForge</t>
        </is>
      </c>
      <c r="C3" s="5" t="inlineStr">
        <is>
          <t>Tracker supplier and wind stow strategy</t>
        </is>
      </c>
      <c r="D3" s="5" t="inlineStr">
        <is>
          <t>Yes – 2026-07-24</t>
        </is>
      </c>
    </row>
    <row r="4">
      <c r="A4" s="2" t="n">
        <v>3</v>
      </c>
      <c r="B4" s="2" t="inlineStr">
        <is>
          <t>Calder</t>
        </is>
      </c>
      <c r="C4" s="2" t="inlineStr">
        <is>
          <t>Programme float in month 6–8</t>
        </is>
      </c>
      <c r="D4" s="2" t="inlineStr">
        <is>
          <t>Yes – 2026-07-27</t>
        </is>
      </c>
    </row>
    <row r="5">
      <c r="A5" s="5" t="n">
        <v>4</v>
      </c>
      <c r="B5" s="5" t="inlineStr">
        <is>
          <t>Meridian</t>
        </is>
      </c>
      <c r="C5" s="5" t="inlineStr">
        <is>
          <t>Price for tracker foundations</t>
        </is>
      </c>
      <c r="D5" s="5" t="inlineStr">
        <is>
          <t>Provisional sum EUR 1.8 m – 2026-07-29</t>
        </is>
      </c>
    </row>
    <row r="6">
      <c r="A6" s="2" t="n">
        <v>5</v>
      </c>
      <c r="B6" s="2" t="inlineStr">
        <is>
          <t>Meridian</t>
        </is>
      </c>
      <c r="C6" s="2" t="inlineStr">
        <is>
          <t>Programme acceleration to 12 months</t>
        </is>
      </c>
      <c r="D6" s="2" t="inlineStr">
        <is>
          <t>Not possible – 2026-07-29</t>
        </is>
      </c>
    </row>
    <row r="7">
      <c r="A7" s="5" t="n">
        <v>6</v>
      </c>
      <c r="B7" s="5" t="inlineStr">
        <is>
          <t>All</t>
        </is>
      </c>
      <c r="C7" s="5" t="inlineStr">
        <is>
          <t>Local labour commitment</t>
        </is>
      </c>
      <c r="D7" s="5" t="inlineStr">
        <is>
          <t>SunForge 30 %, Calder 25 %, Meridian 15 %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2026-07-13T10:00:00Z</dcterms:created>
  <dcterms:modified xmlns:dcterms="http://purl.org/dc/terms/" xmlns:xsi="http://www.w3.org/2001/XMLSchema-instance" xsi:type="dcterms:W3CDTF">2026-10-04T19:30:39Z</dcterms:modified>
  <cp:lastModifiedBy>Liam McAllister</cp:lastModifiedBy>
</cp:coreProperties>
</file>