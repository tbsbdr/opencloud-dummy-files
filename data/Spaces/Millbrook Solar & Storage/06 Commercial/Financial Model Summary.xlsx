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Cash flow" sheetId="3" state="visible" r:id="rId3"/>
  </sheets>
  <definedNames>
    <definedName name="_xlnm._FilterDatabase" localSheetId="0" hidden="1">'KPIs'!$A$1:$B$9</definedName>
    <definedName name="_xlnm._FilterDatabase" localSheetId="1" hidden="1">'Capex'!$A$1:$C$8</definedName>
    <definedName name="_xlnm._FilterDatabase" localSheetId="2" hidden="1">'Cash flow'!$A$1:$H$37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  <xf numFmtId="164" fontId="1" fillId="0" borderId="1" pivotButton="0" quotePrefix="0" xfId="0"/>
    <xf numFmtId="165" fontId="1" fillId="0" borderId="1" pivotButton="0" quotePrefix="0" xfId="0"/>
    <xf numFmtId="164" fontId="1" fillId="3" borderId="1" pivotButton="0" quotePrefix="0" xfId="0"/>
    <xf numFmtId="165" fontId="1" fillId="3" borderId="1" pivotButton="0" quotePrefix="0" xfId="0"/>
    <xf numFmtId="2" fontId="1" fillId="0" borderId="1" pivotButton="0" quotePrefix="0" xfId="0"/>
    <xf numFmtId="2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capex</t>
        </is>
      </c>
      <c r="B2" s="2" t="inlineStr">
        <is>
          <t>EUR 78.0 m</t>
        </is>
      </c>
    </row>
    <row r="3">
      <c r="A3" s="3" t="inlineStr">
        <is>
          <t>P50 generation</t>
        </is>
      </c>
      <c r="B3" s="3" t="inlineStr">
        <is>
          <t>91.3 GWh/a</t>
        </is>
      </c>
    </row>
    <row r="4">
      <c r="A4" s="2" t="inlineStr">
        <is>
          <t>Power price assumption (years 1–15)</t>
        </is>
      </c>
      <c r="B4" s="2" t="inlineStr">
        <is>
          <t>EUR 72/MWh (CfD-style strike price)</t>
        </is>
      </c>
    </row>
    <row r="5">
      <c r="A5" s="3" t="inlineStr">
        <is>
          <t>BESS revenue (year 1)</t>
        </is>
      </c>
      <c r="B5" s="3" t="inlineStr">
        <is>
          <t>EUR 2.4 m (balancing, frequency response, arbitrage)</t>
        </is>
      </c>
    </row>
    <row r="6">
      <c r="A6" s="2" t="inlineStr">
        <is>
          <t>EBITDA (year 1)</t>
        </is>
      </c>
      <c r="B6" s="2" t="inlineStr">
        <is>
          <t>EUR 7.4 m</t>
        </is>
      </c>
    </row>
    <row r="7">
      <c r="A7" s="3" t="inlineStr">
        <is>
          <t>Project IRR (pre-tax, unlevered, 35 years)</t>
        </is>
      </c>
      <c r="B7" s="3" t="inlineStr">
        <is>
          <t>7.3 %</t>
        </is>
      </c>
    </row>
    <row r="8">
      <c r="A8" s="2" t="inlineStr">
        <is>
          <t>Equity IRR (70 % gearing)</t>
        </is>
      </c>
      <c r="B8" s="2" t="inlineStr">
        <is>
          <t>10.1 %</t>
        </is>
      </c>
    </row>
    <row r="9">
      <c r="A9" s="3" t="inlineStr">
        <is>
          <t>Payback</t>
        </is>
      </c>
      <c r="B9" s="3" t="inlineStr">
        <is>
          <t>11.1 years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0" customWidth="1" min="2" max="2"/>
    <col width="10" customWidth="1" min="3" max="3"/>
  </cols>
  <sheetData>
    <row r="1">
      <c r="A1" s="1" t="inlineStr">
        <is>
          <t>Capex item</t>
        </is>
      </c>
      <c r="B1" s="1" t="inlineStr">
        <is>
          <t>EUR m</t>
        </is>
      </c>
      <c r="C1" s="1" t="inlineStr">
        <is>
          <t>Share</t>
        </is>
      </c>
    </row>
    <row r="2">
      <c r="A2" s="2" t="inlineStr">
        <is>
          <t>EPC – solar PV balance of plant incl. modules, trackers, inverters</t>
        </is>
      </c>
      <c r="B2" s="4" t="n">
        <v>49.6</v>
      </c>
      <c r="C2" s="5">
        <f>B2/$B$8</f>
        <v/>
      </c>
    </row>
    <row r="3">
      <c r="A3" s="3" t="inlineStr">
        <is>
          <t>BESS supply and installation (20 MW / 40 MWh)</t>
        </is>
      </c>
      <c r="B3" s="6" t="n">
        <v>11.8</v>
      </c>
      <c r="C3" s="7">
        <f>B3/$B$8</f>
        <v/>
      </c>
    </row>
    <row r="4">
      <c r="A4" s="2" t="inlineStr">
        <is>
          <t>Grid connection works (contestable and non-contestable)</t>
        </is>
      </c>
      <c r="B4" s="4" t="n">
        <v>6.2</v>
      </c>
      <c r="C4" s="5">
        <f>B4/$B$8</f>
        <v/>
      </c>
    </row>
    <row r="5">
      <c r="A5" s="3" t="inlineStr">
        <is>
          <t>Development, planning and consultants</t>
        </is>
      </c>
      <c r="B5" s="6" t="n">
        <v>3.1</v>
      </c>
      <c r="C5" s="7">
        <f>B5/$B$8</f>
        <v/>
      </c>
    </row>
    <row r="6">
      <c r="A6" s="2" t="inlineStr">
        <is>
          <t>Owner's costs and project management</t>
        </is>
      </c>
      <c r="B6" s="4" t="n">
        <v>2.9</v>
      </c>
      <c r="C6" s="5">
        <f>B6/$B$8</f>
        <v/>
      </c>
    </row>
    <row r="7">
      <c r="A7" s="3" t="inlineStr">
        <is>
          <t>Contingency</t>
        </is>
      </c>
      <c r="B7" s="6" t="n">
        <v>4.4</v>
      </c>
      <c r="C7" s="7">
        <f>B7/$B$8</f>
        <v/>
      </c>
    </row>
    <row r="8">
      <c r="A8" s="2" t="inlineStr">
        <is>
          <t>Total capex</t>
        </is>
      </c>
      <c r="B8" s="4">
        <f>SUM(B2:B7)</f>
        <v/>
      </c>
      <c r="C8" s="5" t="inlineStr"/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0" customWidth="1" min="4" max="4"/>
    <col width="22" customWidth="1" min="5" max="5"/>
    <col width="14" customWidth="1" min="6" max="6"/>
    <col width="24" customWidth="1" min="7" max="7"/>
    <col width="16" customWidth="1" min="8" max="8"/>
  </cols>
  <sheetData>
    <row r="1">
      <c r="A1" s="1" t="inlineStr">
        <is>
          <t>Year</t>
        </is>
      </c>
      <c r="B1" s="1" t="inlineStr">
        <is>
          <t>Generation (GWh)</t>
        </is>
      </c>
      <c r="C1" s="1" t="inlineStr">
        <is>
          <t>Power price (EUR/MWh)</t>
        </is>
      </c>
      <c r="D1" s="1" t="inlineStr">
        <is>
          <t>PV revenue (EUR m)</t>
        </is>
      </c>
      <c r="E1" s="1" t="inlineStr">
        <is>
          <t>BESS revenue (EUR m)</t>
        </is>
      </c>
      <c r="F1" s="1" t="inlineStr">
        <is>
          <t>Opex (EUR m)</t>
        </is>
      </c>
      <c r="G1" s="1" t="inlineStr">
        <is>
          <t>Community fund (EUR m)</t>
        </is>
      </c>
      <c r="H1" s="1" t="inlineStr">
        <is>
          <t>EBITDA (EUR m)</t>
        </is>
      </c>
    </row>
    <row r="2">
      <c r="A2" s="2" t="n">
        <v>2029</v>
      </c>
      <c r="B2" s="4" t="n">
        <v>91.3</v>
      </c>
      <c r="C2" s="2" t="n">
        <v>72</v>
      </c>
      <c r="D2" s="8">
        <f>B2*C2/1000</f>
        <v/>
      </c>
      <c r="E2" s="8" t="n">
        <v>2.4</v>
      </c>
      <c r="F2" s="8" t="n">
        <v>1.45</v>
      </c>
      <c r="G2" s="8" t="n">
        <v>0.12</v>
      </c>
      <c r="H2" s="8">
        <f>D2+E2-F2-G2</f>
        <v/>
      </c>
    </row>
    <row r="3">
      <c r="A3" s="3" t="n">
        <v>2030</v>
      </c>
      <c r="B3" s="6" t="n">
        <v>90.90000000000001</v>
      </c>
      <c r="C3" s="3" t="n">
        <v>72</v>
      </c>
      <c r="D3" s="9">
        <f>B3*C3/1000</f>
        <v/>
      </c>
      <c r="E3" s="9" t="n">
        <v>2.38</v>
      </c>
      <c r="F3" s="9" t="n">
        <v>1.48</v>
      </c>
      <c r="G3" s="9" t="n">
        <v>0.12</v>
      </c>
      <c r="H3" s="9">
        <f>D3+E3-F3-G3</f>
        <v/>
      </c>
    </row>
    <row r="4">
      <c r="A4" s="2" t="n">
        <v>2031</v>
      </c>
      <c r="B4" s="4" t="n">
        <v>90.59999999999999</v>
      </c>
      <c r="C4" s="2" t="n">
        <v>72</v>
      </c>
      <c r="D4" s="8">
        <f>B4*C4/1000</f>
        <v/>
      </c>
      <c r="E4" s="8" t="n">
        <v>2.35</v>
      </c>
      <c r="F4" s="8" t="n">
        <v>1.51</v>
      </c>
      <c r="G4" s="8" t="n">
        <v>0.12</v>
      </c>
      <c r="H4" s="8">
        <f>D4+E4-F4-G4</f>
        <v/>
      </c>
    </row>
    <row r="5">
      <c r="A5" s="3" t="n">
        <v>2032</v>
      </c>
      <c r="B5" s="6" t="n">
        <v>90.2</v>
      </c>
      <c r="C5" s="3" t="n">
        <v>72</v>
      </c>
      <c r="D5" s="9">
        <f>B5*C5/1000</f>
        <v/>
      </c>
      <c r="E5" s="9" t="n">
        <v>2.33</v>
      </c>
      <c r="F5" s="9" t="n">
        <v>1.54</v>
      </c>
      <c r="G5" s="9" t="n">
        <v>0.12</v>
      </c>
      <c r="H5" s="9">
        <f>D5+E5-F5-G5</f>
        <v/>
      </c>
    </row>
    <row r="6">
      <c r="A6" s="2" t="n">
        <v>2033</v>
      </c>
      <c r="B6" s="4" t="n">
        <v>89.8</v>
      </c>
      <c r="C6" s="2" t="n">
        <v>72</v>
      </c>
      <c r="D6" s="8">
        <f>B6*C6/1000</f>
        <v/>
      </c>
      <c r="E6" s="8" t="n">
        <v>2.31</v>
      </c>
      <c r="F6" s="8" t="n">
        <v>1.57</v>
      </c>
      <c r="G6" s="8" t="n">
        <v>0.12</v>
      </c>
      <c r="H6" s="8">
        <f>D6+E6-F6-G6</f>
        <v/>
      </c>
    </row>
    <row r="7">
      <c r="A7" s="3" t="n">
        <v>2034</v>
      </c>
      <c r="B7" s="6" t="n">
        <v>89.5</v>
      </c>
      <c r="C7" s="3" t="n">
        <v>72</v>
      </c>
      <c r="D7" s="9">
        <f>B7*C7/1000</f>
        <v/>
      </c>
      <c r="E7" s="9" t="n">
        <v>2.28</v>
      </c>
      <c r="F7" s="9" t="n">
        <v>1.6</v>
      </c>
      <c r="G7" s="9" t="n">
        <v>0.12</v>
      </c>
      <c r="H7" s="9">
        <f>D7+E7-F7-G7</f>
        <v/>
      </c>
    </row>
    <row r="8">
      <c r="A8" s="2" t="n">
        <v>2035</v>
      </c>
      <c r="B8" s="4" t="n">
        <v>89.09999999999999</v>
      </c>
      <c r="C8" s="2" t="n">
        <v>72</v>
      </c>
      <c r="D8" s="8">
        <f>B8*C8/1000</f>
        <v/>
      </c>
      <c r="E8" s="8" t="n">
        <v>2.26</v>
      </c>
      <c r="F8" s="8" t="n">
        <v>1.63</v>
      </c>
      <c r="G8" s="8" t="n">
        <v>0.12</v>
      </c>
      <c r="H8" s="8">
        <f>D8+E8-F8-G8</f>
        <v/>
      </c>
    </row>
    <row r="9">
      <c r="A9" s="3" t="n">
        <v>2036</v>
      </c>
      <c r="B9" s="6" t="n">
        <v>88.8</v>
      </c>
      <c r="C9" s="3" t="n">
        <v>72</v>
      </c>
      <c r="D9" s="9">
        <f>B9*C9/1000</f>
        <v/>
      </c>
      <c r="E9" s="9" t="n">
        <v>2.24</v>
      </c>
      <c r="F9" s="9" t="n">
        <v>1.67</v>
      </c>
      <c r="G9" s="9" t="n">
        <v>0.12</v>
      </c>
      <c r="H9" s="9">
        <f>D9+E9-F9-G9</f>
        <v/>
      </c>
    </row>
    <row r="10">
      <c r="A10" s="2" t="n">
        <v>2037</v>
      </c>
      <c r="B10" s="4" t="n">
        <v>88.40000000000001</v>
      </c>
      <c r="C10" s="2" t="n">
        <v>72</v>
      </c>
      <c r="D10" s="8">
        <f>B10*C10/1000</f>
        <v/>
      </c>
      <c r="E10" s="8" t="n">
        <v>2.21</v>
      </c>
      <c r="F10" s="8" t="n">
        <v>1.7</v>
      </c>
      <c r="G10" s="8" t="n">
        <v>0.12</v>
      </c>
      <c r="H10" s="8">
        <f>D10+E10-F10-G10</f>
        <v/>
      </c>
    </row>
    <row r="11">
      <c r="A11" s="3" t="n">
        <v>2038</v>
      </c>
      <c r="B11" s="6" t="n">
        <v>88.09999999999999</v>
      </c>
      <c r="C11" s="3" t="n">
        <v>72</v>
      </c>
      <c r="D11" s="9">
        <f>B11*C11/1000</f>
        <v/>
      </c>
      <c r="E11" s="9" t="n">
        <v>2.19</v>
      </c>
      <c r="F11" s="9" t="n">
        <v>1.73</v>
      </c>
      <c r="G11" s="9" t="n">
        <v>0.12</v>
      </c>
      <c r="H11" s="9">
        <f>D11+E11-F11-G11</f>
        <v/>
      </c>
    </row>
    <row r="12">
      <c r="A12" s="2" t="n">
        <v>2039</v>
      </c>
      <c r="B12" s="4" t="n">
        <v>87.7</v>
      </c>
      <c r="C12" s="2" t="n">
        <v>72</v>
      </c>
      <c r="D12" s="8">
        <f>B12*C12/1000</f>
        <v/>
      </c>
      <c r="E12" s="8" t="n">
        <v>2.17</v>
      </c>
      <c r="F12" s="8" t="n">
        <v>1.77</v>
      </c>
      <c r="G12" s="8" t="n">
        <v>0.12</v>
      </c>
      <c r="H12" s="8">
        <f>D12+E12-F12-G12</f>
        <v/>
      </c>
    </row>
    <row r="13">
      <c r="A13" s="3" t="n">
        <v>2040</v>
      </c>
      <c r="B13" s="6" t="n">
        <v>87.40000000000001</v>
      </c>
      <c r="C13" s="3" t="n">
        <v>72</v>
      </c>
      <c r="D13" s="9">
        <f>B13*C13/1000</f>
        <v/>
      </c>
      <c r="E13" s="9" t="n">
        <v>2.15</v>
      </c>
      <c r="F13" s="9" t="n">
        <v>1.8</v>
      </c>
      <c r="G13" s="9" t="n">
        <v>0.12</v>
      </c>
      <c r="H13" s="9">
        <f>D13+E13-F13-G13</f>
        <v/>
      </c>
    </row>
    <row r="14">
      <c r="A14" s="2" t="n">
        <v>2041</v>
      </c>
      <c r="B14" s="4" t="n">
        <v>87</v>
      </c>
      <c r="C14" s="2" t="n">
        <v>72</v>
      </c>
      <c r="D14" s="8">
        <f>B14*C14/1000</f>
        <v/>
      </c>
      <c r="E14" s="8" t="n">
        <v>2.13</v>
      </c>
      <c r="F14" s="8" t="n">
        <v>1.84</v>
      </c>
      <c r="G14" s="8" t="n">
        <v>0.12</v>
      </c>
      <c r="H14" s="8">
        <f>D14+E14-F14-G14</f>
        <v/>
      </c>
    </row>
    <row r="15">
      <c r="A15" s="3" t="n">
        <v>2042</v>
      </c>
      <c r="B15" s="6" t="n">
        <v>86.7</v>
      </c>
      <c r="C15" s="3" t="n">
        <v>72</v>
      </c>
      <c r="D15" s="9">
        <f>B15*C15/1000</f>
        <v/>
      </c>
      <c r="E15" s="9" t="n">
        <v>2.11</v>
      </c>
      <c r="F15" s="9" t="n">
        <v>1.88</v>
      </c>
      <c r="G15" s="9" t="n">
        <v>0.12</v>
      </c>
      <c r="H15" s="9">
        <f>D15+E15-F15-G15</f>
        <v/>
      </c>
    </row>
    <row r="16">
      <c r="A16" s="2" t="n">
        <v>2043</v>
      </c>
      <c r="B16" s="4" t="n">
        <v>86.3</v>
      </c>
      <c r="C16" s="2" t="n">
        <v>72</v>
      </c>
      <c r="D16" s="8">
        <f>B16*C16/1000</f>
        <v/>
      </c>
      <c r="E16" s="8" t="n">
        <v>2.08</v>
      </c>
      <c r="F16" s="8" t="n">
        <v>1.91</v>
      </c>
      <c r="G16" s="8" t="n">
        <v>0.12</v>
      </c>
      <c r="H16" s="8">
        <f>D16+E16-F16-G16</f>
        <v/>
      </c>
    </row>
    <row r="17">
      <c r="A17" s="3" t="n">
        <v>2044</v>
      </c>
      <c r="B17" s="6" t="n">
        <v>86</v>
      </c>
      <c r="C17" s="3" t="n">
        <v>58</v>
      </c>
      <c r="D17" s="9">
        <f>B17*C17/1000</f>
        <v/>
      </c>
      <c r="E17" s="9" t="n">
        <v>2.06</v>
      </c>
      <c r="F17" s="9" t="n">
        <v>1.95</v>
      </c>
      <c r="G17" s="9" t="n">
        <v>0.12</v>
      </c>
      <c r="H17" s="9">
        <f>D17+E17-F17-G17</f>
        <v/>
      </c>
    </row>
    <row r="18">
      <c r="A18" s="2" t="n">
        <v>2045</v>
      </c>
      <c r="B18" s="4" t="n">
        <v>85.59999999999999</v>
      </c>
      <c r="C18" s="2" t="n">
        <v>58</v>
      </c>
      <c r="D18" s="8">
        <f>B18*C18/1000</f>
        <v/>
      </c>
      <c r="E18" s="8" t="n">
        <v>2.04</v>
      </c>
      <c r="F18" s="8" t="n">
        <v>1.99</v>
      </c>
      <c r="G18" s="8" t="n">
        <v>0.12</v>
      </c>
      <c r="H18" s="8">
        <f>D18+E18-F18-G18</f>
        <v/>
      </c>
    </row>
    <row r="19">
      <c r="A19" s="3" t="n">
        <v>2046</v>
      </c>
      <c r="B19" s="6" t="n">
        <v>85.3</v>
      </c>
      <c r="C19" s="3" t="n">
        <v>58</v>
      </c>
      <c r="D19" s="9">
        <f>B19*C19/1000</f>
        <v/>
      </c>
      <c r="E19" s="9" t="n">
        <v>2.02</v>
      </c>
      <c r="F19" s="9" t="n">
        <v>2.03</v>
      </c>
      <c r="G19" s="9" t="n">
        <v>0.12</v>
      </c>
      <c r="H19" s="9">
        <f>D19+E19-F19-G19</f>
        <v/>
      </c>
    </row>
    <row r="20">
      <c r="A20" s="2" t="n">
        <v>2047</v>
      </c>
      <c r="B20" s="4" t="n">
        <v>84.90000000000001</v>
      </c>
      <c r="C20" s="2" t="n">
        <v>58</v>
      </c>
      <c r="D20" s="8">
        <f>B20*C20/1000</f>
        <v/>
      </c>
      <c r="E20" s="8" t="n">
        <v>2</v>
      </c>
      <c r="F20" s="8" t="n">
        <v>2.07</v>
      </c>
      <c r="G20" s="8" t="n">
        <v>0.12</v>
      </c>
      <c r="H20" s="8">
        <f>D20+E20-F20-G20</f>
        <v/>
      </c>
    </row>
    <row r="21">
      <c r="A21" s="3" t="n">
        <v>2048</v>
      </c>
      <c r="B21" s="6" t="n">
        <v>84.59999999999999</v>
      </c>
      <c r="C21" s="3" t="n">
        <v>58</v>
      </c>
      <c r="D21" s="9">
        <f>B21*C21/1000</f>
        <v/>
      </c>
      <c r="E21" s="9" t="n">
        <v>1.98</v>
      </c>
      <c r="F21" s="9" t="n">
        <v>2.11</v>
      </c>
      <c r="G21" s="9" t="n">
        <v>0.12</v>
      </c>
      <c r="H21" s="9">
        <f>D21+E21-F21-G21</f>
        <v/>
      </c>
    </row>
    <row r="22">
      <c r="A22" s="2" t="n">
        <v>2049</v>
      </c>
      <c r="B22" s="4" t="n">
        <v>84.3</v>
      </c>
      <c r="C22" s="2" t="n">
        <v>58</v>
      </c>
      <c r="D22" s="8">
        <f>B22*C22/1000</f>
        <v/>
      </c>
      <c r="E22" s="8" t="n">
        <v>1.96</v>
      </c>
      <c r="F22" s="8" t="n">
        <v>2.15</v>
      </c>
      <c r="G22" s="8" t="n">
        <v>0.12</v>
      </c>
      <c r="H22" s="8">
        <f>D22+E22-F22-G22</f>
        <v/>
      </c>
    </row>
    <row r="23">
      <c r="A23" s="3" t="n">
        <v>2050</v>
      </c>
      <c r="B23" s="6" t="n">
        <v>83.90000000000001</v>
      </c>
      <c r="C23" s="3" t="n">
        <v>58</v>
      </c>
      <c r="D23" s="9">
        <f>B23*C23/1000</f>
        <v/>
      </c>
      <c r="E23" s="9" t="n">
        <v>1.94</v>
      </c>
      <c r="F23" s="9" t="n">
        <v>2.2</v>
      </c>
      <c r="G23" s="9" t="n">
        <v>0.12</v>
      </c>
      <c r="H23" s="9">
        <f>D23+E23-F23-G23</f>
        <v/>
      </c>
    </row>
    <row r="24">
      <c r="A24" s="2" t="n">
        <v>2051</v>
      </c>
      <c r="B24" s="4" t="n">
        <v>83.59999999999999</v>
      </c>
      <c r="C24" s="2" t="n">
        <v>58</v>
      </c>
      <c r="D24" s="8">
        <f>B24*C24/1000</f>
        <v/>
      </c>
      <c r="E24" s="8" t="n">
        <v>1.92</v>
      </c>
      <c r="F24" s="8" t="n">
        <v>2.24</v>
      </c>
      <c r="G24" s="8" t="n">
        <v>0.12</v>
      </c>
      <c r="H24" s="8">
        <f>D24+E24-F24-G24</f>
        <v/>
      </c>
    </row>
    <row r="25">
      <c r="A25" s="3" t="n">
        <v>2052</v>
      </c>
      <c r="B25" s="6" t="n">
        <v>83.3</v>
      </c>
      <c r="C25" s="3" t="n">
        <v>58</v>
      </c>
      <c r="D25" s="9">
        <f>B25*C25/1000</f>
        <v/>
      </c>
      <c r="E25" s="9" t="n">
        <v>1.9</v>
      </c>
      <c r="F25" s="9" t="n">
        <v>2.29</v>
      </c>
      <c r="G25" s="9" t="n">
        <v>0.12</v>
      </c>
      <c r="H25" s="9">
        <f>D25+E25-F25-G25</f>
        <v/>
      </c>
    </row>
    <row r="26">
      <c r="A26" s="2" t="n">
        <v>2053</v>
      </c>
      <c r="B26" s="4" t="n">
        <v>82.90000000000001</v>
      </c>
      <c r="C26" s="2" t="n">
        <v>58</v>
      </c>
      <c r="D26" s="8">
        <f>B26*C26/1000</f>
        <v/>
      </c>
      <c r="E26" s="8" t="n">
        <v>1.89</v>
      </c>
      <c r="F26" s="8" t="n">
        <v>2.33</v>
      </c>
      <c r="G26" s="8" t="n">
        <v>0.12</v>
      </c>
      <c r="H26" s="8">
        <f>D26+E26-F26-G26</f>
        <v/>
      </c>
    </row>
    <row r="27">
      <c r="A27" s="3" t="n">
        <v>2054</v>
      </c>
      <c r="B27" s="6" t="n">
        <v>82.59999999999999</v>
      </c>
      <c r="C27" s="3" t="n">
        <v>58</v>
      </c>
      <c r="D27" s="9">
        <f>B27*C27/1000</f>
        <v/>
      </c>
      <c r="E27" s="9" t="n">
        <v>1.87</v>
      </c>
      <c r="F27" s="9" t="n">
        <v>2.38</v>
      </c>
      <c r="G27" s="9" t="n">
        <v>0.12</v>
      </c>
      <c r="H27" s="9">
        <f>D27+E27-F27-G27</f>
        <v/>
      </c>
    </row>
    <row r="28">
      <c r="A28" s="2" t="n">
        <v>2055</v>
      </c>
      <c r="B28" s="4" t="n">
        <v>82.3</v>
      </c>
      <c r="C28" s="2" t="n">
        <v>58</v>
      </c>
      <c r="D28" s="8">
        <f>B28*C28/1000</f>
        <v/>
      </c>
      <c r="E28" s="8" t="n">
        <v>1.85</v>
      </c>
      <c r="F28" s="8" t="n">
        <v>2.43</v>
      </c>
      <c r="G28" s="8" t="n">
        <v>0.12</v>
      </c>
      <c r="H28" s="8">
        <f>D28+E28-F28-G28</f>
        <v/>
      </c>
    </row>
    <row r="29">
      <c r="A29" s="3" t="n">
        <v>2056</v>
      </c>
      <c r="B29" s="6" t="n">
        <v>81.90000000000001</v>
      </c>
      <c r="C29" s="3" t="n">
        <v>58</v>
      </c>
      <c r="D29" s="9">
        <f>B29*C29/1000</f>
        <v/>
      </c>
      <c r="E29" s="9" t="n">
        <v>1.83</v>
      </c>
      <c r="F29" s="9" t="n">
        <v>2.47</v>
      </c>
      <c r="G29" s="9" t="n">
        <v>0.12</v>
      </c>
      <c r="H29" s="9">
        <f>D29+E29-F29-G29</f>
        <v/>
      </c>
    </row>
    <row r="30">
      <c r="A30" s="2" t="n">
        <v>2057</v>
      </c>
      <c r="B30" s="4" t="n">
        <v>81.59999999999999</v>
      </c>
      <c r="C30" s="2" t="n">
        <v>58</v>
      </c>
      <c r="D30" s="8">
        <f>B30*C30/1000</f>
        <v/>
      </c>
      <c r="E30" s="8" t="n">
        <v>1.81</v>
      </c>
      <c r="F30" s="8" t="n">
        <v>2.52</v>
      </c>
      <c r="G30" s="8" t="n">
        <v>0.12</v>
      </c>
      <c r="H30" s="8">
        <f>D30+E30-F30-G30</f>
        <v/>
      </c>
    </row>
    <row r="31">
      <c r="A31" s="3" t="n">
        <v>2058</v>
      </c>
      <c r="B31" s="6" t="n">
        <v>81.3</v>
      </c>
      <c r="C31" s="3" t="n">
        <v>58</v>
      </c>
      <c r="D31" s="9">
        <f>B31*C31/1000</f>
        <v/>
      </c>
      <c r="E31" s="9" t="n">
        <v>1.79</v>
      </c>
      <c r="F31" s="9" t="n">
        <v>2.57</v>
      </c>
      <c r="G31" s="9" t="n">
        <v>0.12</v>
      </c>
      <c r="H31" s="9">
        <f>D31+E31-F31-G31</f>
        <v/>
      </c>
    </row>
    <row r="32">
      <c r="A32" s="2" t="n">
        <v>2059</v>
      </c>
      <c r="B32" s="4" t="n">
        <v>81</v>
      </c>
      <c r="C32" s="2" t="n">
        <v>58</v>
      </c>
      <c r="D32" s="8">
        <f>B32*C32/1000</f>
        <v/>
      </c>
      <c r="E32" s="8" t="n">
        <v>1.78</v>
      </c>
      <c r="F32" s="8" t="n">
        <v>2.63</v>
      </c>
      <c r="G32" s="8" t="n">
        <v>0.12</v>
      </c>
      <c r="H32" s="8">
        <f>D32+E32-F32-G32</f>
        <v/>
      </c>
    </row>
    <row r="33">
      <c r="A33" s="3" t="n">
        <v>2060</v>
      </c>
      <c r="B33" s="6" t="n">
        <v>80.59999999999999</v>
      </c>
      <c r="C33" s="3" t="n">
        <v>58</v>
      </c>
      <c r="D33" s="9">
        <f>B33*C33/1000</f>
        <v/>
      </c>
      <c r="E33" s="9" t="n">
        <v>1.76</v>
      </c>
      <c r="F33" s="9" t="n">
        <v>2.68</v>
      </c>
      <c r="G33" s="9" t="n">
        <v>0.12</v>
      </c>
      <c r="H33" s="9">
        <f>D33+E33-F33-G33</f>
        <v/>
      </c>
    </row>
    <row r="34">
      <c r="A34" s="2" t="n">
        <v>2061</v>
      </c>
      <c r="B34" s="4" t="n">
        <v>80.3</v>
      </c>
      <c r="C34" s="2" t="n">
        <v>58</v>
      </c>
      <c r="D34" s="8">
        <f>B34*C34/1000</f>
        <v/>
      </c>
      <c r="E34" s="8" t="n">
        <v>1.74</v>
      </c>
      <c r="F34" s="8" t="n">
        <v>2.73</v>
      </c>
      <c r="G34" s="8" t="n">
        <v>0.12</v>
      </c>
      <c r="H34" s="8">
        <f>D34+E34-F34-G34</f>
        <v/>
      </c>
    </row>
    <row r="35">
      <c r="A35" s="3" t="n">
        <v>2062</v>
      </c>
      <c r="B35" s="6" t="n">
        <v>80</v>
      </c>
      <c r="C35" s="3" t="n">
        <v>58</v>
      </c>
      <c r="D35" s="9">
        <f>B35*C35/1000</f>
        <v/>
      </c>
      <c r="E35" s="9" t="n">
        <v>1.72</v>
      </c>
      <c r="F35" s="9" t="n">
        <v>2.79</v>
      </c>
      <c r="G35" s="9" t="n">
        <v>0.12</v>
      </c>
      <c r="H35" s="9">
        <f>D35+E35-F35-G35</f>
        <v/>
      </c>
    </row>
    <row r="36">
      <c r="A36" s="2" t="n">
        <v>2063</v>
      </c>
      <c r="B36" s="4" t="n">
        <v>79.7</v>
      </c>
      <c r="C36" s="2" t="n">
        <v>58</v>
      </c>
      <c r="D36" s="8">
        <f>B36*C36/1000</f>
        <v/>
      </c>
      <c r="E36" s="8" t="n">
        <v>1.71</v>
      </c>
      <c r="F36" s="8" t="n">
        <v>2.84</v>
      </c>
      <c r="G36" s="8" t="n">
        <v>0.12</v>
      </c>
      <c r="H36" s="8">
        <f>D36+E36-F36-G36</f>
        <v/>
      </c>
    </row>
    <row r="37">
      <c r="A37" s="3" t="inlineStr">
        <is>
          <t>Total</t>
        </is>
      </c>
      <c r="B37" s="6">
        <f>SUM(B2:B36)</f>
        <v/>
      </c>
      <c r="C37" s="3" t="inlineStr"/>
      <c r="D37" s="9">
        <f>SUM(D2:D36)</f>
        <v/>
      </c>
      <c r="E37" s="9">
        <f>SUM(E2:E36)</f>
        <v/>
      </c>
      <c r="F37" s="9">
        <f>SUM(F2:F36)</f>
        <v/>
      </c>
      <c r="G37" s="9">
        <f>SUM(G2:G36)</f>
        <v/>
      </c>
      <c r="H37" s="9">
        <f>SUM(H2:H36)</f>
        <v/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2026-03-02T10:00:00Z</dcterms:created>
  <dcterms:modified xmlns:dcterms="http://purl.org/dc/terms/" xmlns:xsi="http://www.w3.org/2001/XMLSchema-instance" xsi:type="dcterms:W3CDTF">2026-10-04T19:30:39Z</dcterms:modified>
  <cp:lastModifiedBy>Liam McAllister</cp:lastModifiedBy>
</cp:coreProperties>
</file>