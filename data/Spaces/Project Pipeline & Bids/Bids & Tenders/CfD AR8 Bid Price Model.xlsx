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'Model'!$A$1:$D$12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2" customWidth="1" min="4" max="4"/>
  </cols>
  <sheetData>
    <row r="1">
      <c r="A1" s="1" t="inlineStr">
        <is>
          <t>Parameter</t>
        </is>
      </c>
      <c r="B1" s="1" t="inlineStr">
        <is>
          <t>Ravensworth Solar (PL-031)</t>
        </is>
      </c>
      <c r="C1" s="1" t="inlineStr">
        <is>
          <t>Saltmarsh Solar (PL-008)</t>
        </is>
      </c>
      <c r="D1" s="1" t="inlineStr">
        <is>
          <t>Unit</t>
        </is>
      </c>
    </row>
    <row r="2">
      <c r="A2" s="2" t="inlineStr">
        <is>
          <t>Capacity</t>
        </is>
      </c>
      <c r="B2" s="3" t="n">
        <v>49.9</v>
      </c>
      <c r="C2" s="3" t="n">
        <v>49.9</v>
      </c>
      <c r="D2" s="2" t="inlineStr">
        <is>
          <t>MWp</t>
        </is>
      </c>
    </row>
    <row r="3">
      <c r="A3" s="4" t="inlineStr">
        <is>
          <t>Specific yield</t>
        </is>
      </c>
      <c r="B3" s="5" t="n">
        <v>1105</v>
      </c>
      <c r="C3" s="5" t="n">
        <v>1120</v>
      </c>
      <c r="D3" s="4" t="inlineStr">
        <is>
          <t>kWh/kWp</t>
        </is>
      </c>
    </row>
    <row r="4">
      <c r="A4" s="2" t="inlineStr">
        <is>
          <t>Annual generation</t>
        </is>
      </c>
      <c r="B4" s="3">
        <f>B2*B3/1000</f>
        <v/>
      </c>
      <c r="C4" s="3">
        <f>C2*C3/1000</f>
        <v/>
      </c>
      <c r="D4" s="2" t="inlineStr">
        <is>
          <t>GWh</t>
        </is>
      </c>
    </row>
    <row r="5">
      <c r="A5" s="4" t="inlineStr">
        <is>
          <t>Capex</t>
        </is>
      </c>
      <c r="B5" s="5" t="n">
        <v>0.5600000000000001</v>
      </c>
      <c r="C5" s="5" t="n">
        <v>0.58</v>
      </c>
      <c r="D5" s="4" t="inlineStr">
        <is>
          <t>EUR m/MWp</t>
        </is>
      </c>
    </row>
    <row r="6">
      <c r="A6" s="2" t="inlineStr">
        <is>
          <t>Total capex</t>
        </is>
      </c>
      <c r="B6" s="3">
        <f>B2*B5</f>
        <v/>
      </c>
      <c r="C6" s="3">
        <f>C2*C5</f>
        <v/>
      </c>
      <c r="D6" s="2" t="inlineStr">
        <is>
          <t>EUR m</t>
        </is>
      </c>
    </row>
    <row r="7">
      <c r="A7" s="4" t="inlineStr">
        <is>
          <t>Opex</t>
        </is>
      </c>
      <c r="B7" s="5" t="n">
        <v>11</v>
      </c>
      <c r="C7" s="5" t="n">
        <v>11.5</v>
      </c>
      <c r="D7" s="4" t="inlineStr">
        <is>
          <t>EUR k/MWp/a</t>
        </is>
      </c>
    </row>
    <row r="8">
      <c r="A8" s="2" t="inlineStr">
        <is>
          <t>WACC (real, pre-tax)</t>
        </is>
      </c>
      <c r="B8" s="3" t="n">
        <v>0.062</v>
      </c>
      <c r="C8" s="3" t="n">
        <v>0.062</v>
      </c>
      <c r="D8" s="2" t="inlineStr"/>
    </row>
    <row r="9">
      <c r="A9" s="4" t="inlineStr">
        <is>
          <t>Lifetime</t>
        </is>
      </c>
      <c r="B9" s="5" t="n">
        <v>35</v>
      </c>
      <c r="C9" s="5" t="n">
        <v>35</v>
      </c>
      <c r="D9" s="4" t="inlineStr">
        <is>
          <t>years</t>
        </is>
      </c>
    </row>
    <row r="10">
      <c r="A10" s="2" t="inlineStr">
        <is>
          <t>Capital recovery factor</t>
        </is>
      </c>
      <c r="B10" s="3">
        <f>B8/(1-(1+B8)^-B9)</f>
        <v/>
      </c>
      <c r="C10" s="3">
        <f>C8/(1-(1+C8)^-C9)</f>
        <v/>
      </c>
      <c r="D10" s="2" t="inlineStr"/>
    </row>
    <row r="11">
      <c r="A11" s="4" t="inlineStr">
        <is>
          <t>LCOE</t>
        </is>
      </c>
      <c r="B11" s="5">
        <f>(B6*1000000*B10+B2*B7*1000)/(B4*1000)</f>
        <v/>
      </c>
      <c r="C11" s="5">
        <f>(C6*1000000*C10+C2*C7*1000)/(C4*1000)</f>
        <v/>
      </c>
      <c r="D11" s="4" t="inlineStr">
        <is>
          <t>EUR/MWh</t>
        </is>
      </c>
    </row>
    <row r="12">
      <c r="A12" s="2" t="inlineStr">
        <is>
          <t>Bid strike price (proposal)</t>
        </is>
      </c>
      <c r="B12" s="3">
        <f>ROUND(B11*1.08,1)</f>
        <v/>
      </c>
      <c r="C12" s="3">
        <f>ROUND(C11*1.08,1)</f>
        <v/>
      </c>
      <c r="D12" s="2" t="inlineStr">
        <is>
          <t>EUR/MWh (2024 prices)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Strike price proposal = LCOE + 8 % margin. Not yet reviewed by the IC.</t>
        </is>
      </c>
    </row>
    <row r="3">
      <c r="A3" s="4" t="inlineStr">
        <is>
          <t>Yields from MB-YLD-RPT-0002 method (Millbrook) adjusted for site irradiation.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2026-08-24T10:00:00Z</dcterms:created>
  <dcterms:modified xmlns:dcterms="http://purl.org/dc/terms/" xmlns:xsi="http://www.w3.org/2001/XMLSchema-instance" xsi:type="dcterms:W3CDTF">2026-10-04T19:30:42Z</dcterms:modified>
  <cp:lastModifiedBy>Jonas Richter</cp:lastModifiedBy>
</cp:coreProperties>
</file>