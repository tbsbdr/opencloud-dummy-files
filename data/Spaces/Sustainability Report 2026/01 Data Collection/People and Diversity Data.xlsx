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31 Aug" sheetId="1" state="visible" r:id="rId1"/>
    <sheet xmlns:r="http://schemas.openxmlformats.org/officeDocument/2006/relationships" name="Leadership" sheetId="2" state="visible" r:id="rId2"/>
    <sheet xmlns:r="http://schemas.openxmlformats.org/officeDocument/2006/relationships" name="Other KPIs" sheetId="3" state="visible" r:id="rId3"/>
  </sheets>
  <definedNames>
    <definedName name="_xlnm._FilterDatabase" localSheetId="0" hidden="1">'Headcount 31 Aug'!$A$1:$I$6</definedName>
    <definedName name="_xlnm._FilterDatabase" localSheetId="1" hidden="1">'Leadership'!$A$1:$E$4</definedName>
    <definedName name="_xlnm._FilterDatabase" localSheetId="2" hidden="1">'Other KPIs'!$A$1:$C$7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9" customWidth="1" min="3" max="3"/>
    <col width="9" customWidth="1" min="4" max="4"/>
    <col width="25" customWidth="1" min="5" max="5"/>
    <col width="9" customWidth="1" min="6" max="6"/>
    <col width="10" customWidth="1" min="7" max="7"/>
    <col width="9" customWidth="1" min="8" max="8"/>
    <col width="9" customWidth="1" min="9" max="9"/>
  </cols>
  <sheetData>
    <row r="1">
      <c r="A1" s="1" t="inlineStr">
        <is>
          <t>Office</t>
        </is>
      </c>
      <c r="B1" s="1" t="inlineStr">
        <is>
          <t>Headcount</t>
        </is>
      </c>
      <c r="C1" s="1" t="inlineStr">
        <is>
          <t>Women</t>
        </is>
      </c>
      <c r="D1" s="1" t="inlineStr">
        <is>
          <t>Men</t>
        </is>
      </c>
      <c r="E1" s="1" t="inlineStr">
        <is>
          <t>Non-binary / not stated</t>
        </is>
      </c>
      <c r="F1" s="1" t="inlineStr">
        <is>
          <t>Women %</t>
        </is>
      </c>
      <c r="G1" s="1" t="inlineStr">
        <is>
          <t>Under 30</t>
        </is>
      </c>
      <c r="H1" s="1" t="inlineStr">
        <is>
          <t>30–50</t>
        </is>
      </c>
      <c r="I1" s="1" t="inlineStr">
        <is>
          <t>Over 50</t>
        </is>
      </c>
    </row>
    <row r="2">
      <c r="A2" s="2" t="inlineStr">
        <is>
          <t>Hamburg</t>
        </is>
      </c>
      <c r="B2" s="2" t="n">
        <v>236</v>
      </c>
      <c r="C2" s="2" t="n">
        <v>88</v>
      </c>
      <c r="D2" s="2" t="n">
        <v>146</v>
      </c>
      <c r="E2" s="2" t="n">
        <v>2</v>
      </c>
      <c r="F2" s="3">
        <f>C2/B2</f>
        <v/>
      </c>
      <c r="G2" s="2" t="n">
        <v>41</v>
      </c>
      <c r="H2" s="2" t="n">
        <v>156</v>
      </c>
      <c r="I2" s="2" t="n">
        <v>39</v>
      </c>
    </row>
    <row r="3">
      <c r="A3" s="4" t="inlineStr">
        <is>
          <t>Edinburgh</t>
        </is>
      </c>
      <c r="B3" s="4" t="n">
        <v>148</v>
      </c>
      <c r="C3" s="4" t="n">
        <v>47</v>
      </c>
      <c r="D3" s="4" t="n">
        <v>100</v>
      </c>
      <c r="E3" s="4" t="n">
        <v>1</v>
      </c>
      <c r="F3" s="5">
        <f>C3/B3</f>
        <v/>
      </c>
      <c r="G3" s="4" t="n">
        <v>29</v>
      </c>
      <c r="H3" s="4" t="n">
        <v>92</v>
      </c>
      <c r="I3" s="4" t="n">
        <v>27</v>
      </c>
    </row>
    <row r="4">
      <c r="A4" s="2" t="inlineStr">
        <is>
          <t>Copenhagen</t>
        </is>
      </c>
      <c r="B4" s="2" t="n">
        <v>52</v>
      </c>
      <c r="C4" s="2" t="n">
        <v>17</v>
      </c>
      <c r="D4" s="2" t="n">
        <v>35</v>
      </c>
      <c r="E4" s="2" t="n">
        <v>0</v>
      </c>
      <c r="F4" s="3">
        <f>C4/B4</f>
        <v/>
      </c>
      <c r="G4" s="2" t="n">
        <v>8</v>
      </c>
      <c r="H4" s="2" t="n">
        <v>33</v>
      </c>
      <c r="I4" s="2" t="n">
        <v>11</v>
      </c>
    </row>
    <row r="5">
      <c r="A5" s="4" t="inlineStr">
        <is>
          <t>Site-based (UK)</t>
        </is>
      </c>
      <c r="B5" s="4" t="n">
        <v>14</v>
      </c>
      <c r="C5" s="4" t="n">
        <v>1</v>
      </c>
      <c r="D5" s="4" t="n">
        <v>13</v>
      </c>
      <c r="E5" s="4" t="n">
        <v>0</v>
      </c>
      <c r="F5" s="5">
        <f>C5/B5</f>
        <v/>
      </c>
      <c r="G5" s="4" t="n">
        <v>3</v>
      </c>
      <c r="H5" s="4" t="n">
        <v>7</v>
      </c>
      <c r="I5" s="4" t="n">
        <v>4</v>
      </c>
    </row>
    <row r="6">
      <c r="A6" s="2" t="inlineStr">
        <is>
          <t>Total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3">
        <f>C6/B6</f>
        <v/>
      </c>
      <c r="G6" s="2">
        <f>SUM(G2:G5)</f>
        <v/>
      </c>
      <c r="H6" s="2">
        <f>SUM(H2:H5)</f>
        <v/>
      </c>
      <c r="I6" s="2">
        <f>SUM(I2:I5)</f>
        <v/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13" customWidth="1" min="5" max="5"/>
  </cols>
  <sheetData>
    <row r="1">
      <c r="A1" s="1" t="inlineStr">
        <is>
          <t>Level</t>
        </is>
      </c>
      <c r="B1" s="1" t="inlineStr">
        <is>
          <t>Total</t>
        </is>
      </c>
      <c r="C1" s="1" t="inlineStr">
        <is>
          <t>Women</t>
        </is>
      </c>
      <c r="D1" s="1" t="inlineStr">
        <is>
          <t>Women %</t>
        </is>
      </c>
      <c r="E1" s="1" t="inlineStr">
        <is>
          <t>Target 2028</t>
        </is>
      </c>
    </row>
    <row r="2">
      <c r="A2" s="2" t="inlineStr">
        <is>
          <t>Executive Board</t>
        </is>
      </c>
      <c r="B2" s="2" t="n">
        <v>3</v>
      </c>
      <c r="C2" s="2" t="n">
        <v>1</v>
      </c>
      <c r="D2" s="3">
        <f>C2/B2</f>
        <v/>
      </c>
      <c r="E2" s="2" t="inlineStr">
        <is>
          <t>–</t>
        </is>
      </c>
    </row>
    <row r="3">
      <c r="A3" s="4" t="inlineStr">
        <is>
          <t>Heads of department</t>
        </is>
      </c>
      <c r="B3" s="4" t="n">
        <v>16</v>
      </c>
      <c r="C3" s="4" t="n">
        <v>5</v>
      </c>
      <c r="D3" s="5">
        <f>C3/B3</f>
        <v/>
      </c>
      <c r="E3" s="4" t="inlineStr">
        <is>
          <t>40 %</t>
        </is>
      </c>
    </row>
    <row r="4">
      <c r="A4" s="2" t="inlineStr">
        <is>
          <t>Team leads</t>
        </is>
      </c>
      <c r="B4" s="2" t="n">
        <v>42</v>
      </c>
      <c r="C4" s="2" t="n">
        <v>13</v>
      </c>
      <c r="D4" s="3">
        <f>C4/B4</f>
        <v/>
      </c>
      <c r="E4" s="2" t="inlineStr">
        <is>
          <t>40 %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KPI</t>
        </is>
      </c>
      <c r="B1" s="1" t="inlineStr">
        <is>
          <t>2025</t>
        </is>
      </c>
      <c r="C1" s="1" t="inlineStr">
        <is>
          <t>2026 YTD</t>
        </is>
      </c>
    </row>
    <row r="2">
      <c r="A2" s="2" t="inlineStr">
        <is>
          <t>Voluntary turnover</t>
        </is>
      </c>
      <c r="B2" s="2" t="inlineStr">
        <is>
          <t>8.9 %</t>
        </is>
      </c>
      <c r="C2" s="2" t="inlineStr">
        <is>
          <t>5.1 %</t>
        </is>
      </c>
    </row>
    <row r="3">
      <c r="A3" s="4" t="inlineStr">
        <is>
          <t>New hires</t>
        </is>
      </c>
      <c r="B3" s="4" t="n">
        <v>71</v>
      </c>
      <c r="C3" s="4" t="n">
        <v>64</v>
      </c>
    </row>
    <row r="4">
      <c r="A4" s="2" t="inlineStr">
        <is>
          <t>Training hours per FTE</t>
        </is>
      </c>
      <c r="B4" s="2" t="n">
        <v>27.5</v>
      </c>
      <c r="C4" s="2" t="n">
        <v>19.8</v>
      </c>
    </row>
    <row r="5">
      <c r="A5" s="4" t="inlineStr">
        <is>
          <t>Gender pay gap (unadjusted, DE)</t>
        </is>
      </c>
      <c r="B5" s="4" t="inlineStr">
        <is>
          <t>11.4 %</t>
        </is>
      </c>
      <c r="C5" s="4" t="inlineStr">
        <is>
          <t>pending</t>
        </is>
      </c>
    </row>
    <row r="6">
      <c r="A6" s="2" t="inlineStr">
        <is>
          <t>Apprentices</t>
        </is>
      </c>
      <c r="B6" s="2" t="n">
        <v>6</v>
      </c>
      <c r="C6" s="2" t="n">
        <v>9</v>
      </c>
    </row>
    <row r="7">
      <c r="A7" s="4" t="inlineStr">
        <is>
          <t>Employee engagement score</t>
        </is>
      </c>
      <c r="B7" s="4" t="inlineStr">
        <is>
          <t>72</t>
        </is>
      </c>
      <c r="C7" s="4" t="inlineStr">
        <is>
          <t>survey Nov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2026-08-05T10:00:00Z</dcterms:created>
  <dcterms:modified xmlns:dcterms="http://purl.org/dc/terms/" xmlns:xsi="http://www.w3.org/2001/XMLSchema-instance" xsi:type="dcterms:W3CDTF">2026-10-04T19:30:44Z</dcterms:modified>
  <cp:lastModifiedBy>Julia Hoffmann</cp:lastModifiedBy>
</cp:coreProperties>
</file>