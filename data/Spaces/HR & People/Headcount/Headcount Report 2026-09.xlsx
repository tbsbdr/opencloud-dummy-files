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epartment" sheetId="1" state="visible" r:id="rId1"/>
    <sheet xmlns:r="http://schemas.openxmlformats.org/officeDocument/2006/relationships" name="Trend 2026" sheetId="2" state="visible" r:id="rId2"/>
    <sheet xmlns:r="http://schemas.openxmlformats.org/officeDocument/2006/relationships" name="Contract types" sheetId="3" state="visible" r:id="rId3"/>
    <sheet xmlns:r="http://schemas.openxmlformats.org/officeDocument/2006/relationships" name="Age structure" sheetId="4" state="visible" r:id="rId4"/>
  </sheets>
  <definedNames>
    <definedName name="_xlnm._FilterDatabase" localSheetId="0" hidden="1">'By department'!$A$3:$H$19</definedName>
    <definedName name="_xlnm._FilterDatabase" localSheetId="1" hidden="1">'Trend 2026'!$A$1:$F$10</definedName>
    <definedName name="_xlnm._FilterDatabase" localSheetId="2" hidden="1">'Contract types'!$A$1:$C$6</definedName>
    <definedName name="_xlnm._FilterDatabase" localSheetId="3" hidden="1">'Age structure'!$A$1:$B$7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9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9" fontId="2" fillId="3" borderId="1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9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Headcount 30 September 2026 (heads, incl. Executive Board)</t>
        </is>
      </c>
    </row>
    <row r="3">
      <c r="A3" s="2" t="inlineStr">
        <is>
          <t>Department</t>
        </is>
      </c>
      <c r="B3" s="2" t="inlineStr">
        <is>
          <t>Hamburg</t>
        </is>
      </c>
      <c r="C3" s="2" t="inlineStr">
        <is>
          <t>Edinburgh</t>
        </is>
      </c>
      <c r="D3" s="2" t="inlineStr">
        <is>
          <t>Copenhagen</t>
        </is>
      </c>
      <c r="E3" s="2" t="inlineStr">
        <is>
          <t>Total</t>
        </is>
      </c>
      <c r="F3" s="2" t="inlineStr">
        <is>
          <t>Share of total</t>
        </is>
      </c>
      <c r="G3" s="2" t="inlineStr">
        <is>
          <t>Female %</t>
        </is>
      </c>
      <c r="H3" s="2" t="inlineStr">
        <is>
          <t>Part-time</t>
        </is>
      </c>
    </row>
    <row r="4">
      <c r="A4" s="3" t="inlineStr">
        <is>
          <t>Executive Board</t>
        </is>
      </c>
      <c r="B4" s="3" t="n">
        <v>5</v>
      </c>
      <c r="C4" s="3" t="n">
        <v>1</v>
      </c>
      <c r="D4" s="3" t="n">
        <v>0</v>
      </c>
      <c r="E4" s="3">
        <f>SUM(B4:D4)</f>
        <v/>
      </c>
      <c r="F4" s="4">
        <f>E4/E$19</f>
        <v/>
      </c>
      <c r="G4" s="5" t="n">
        <v>0.53</v>
      </c>
      <c r="H4" s="3" t="n">
        <v>0</v>
      </c>
    </row>
    <row r="5">
      <c r="A5" s="6" t="inlineStr">
        <is>
          <t>Projects</t>
        </is>
      </c>
      <c r="B5" s="6" t="n">
        <v>22</v>
      </c>
      <c r="C5" s="6" t="n">
        <v>66</v>
      </c>
      <c r="D5" s="6" t="n">
        <v>11</v>
      </c>
      <c r="E5" s="6">
        <f>SUM(B5:D5)</f>
        <v/>
      </c>
      <c r="F5" s="7">
        <f>E5/E$19</f>
        <v/>
      </c>
      <c r="G5" s="8" t="n">
        <v>0.21</v>
      </c>
      <c r="H5" s="6" t="n">
        <v>7</v>
      </c>
    </row>
    <row r="6">
      <c r="A6" s="3" t="inlineStr">
        <is>
          <t>Engineering</t>
        </is>
      </c>
      <c r="B6" s="3" t="n">
        <v>14</v>
      </c>
      <c r="C6" s="3" t="n">
        <v>18</v>
      </c>
      <c r="D6" s="3" t="n">
        <v>38</v>
      </c>
      <c r="E6" s="3">
        <f>SUM(B6:D6)</f>
        <v/>
      </c>
      <c r="F6" s="4">
        <f>E6/E$19</f>
        <v/>
      </c>
      <c r="G6" s="5" t="n">
        <v>0.23</v>
      </c>
      <c r="H6" s="3" t="n">
        <v>2</v>
      </c>
    </row>
    <row r="7">
      <c r="A7" s="6" t="inlineStr">
        <is>
          <t>Asset Operations</t>
        </is>
      </c>
      <c r="B7" s="6" t="n">
        <v>12</v>
      </c>
      <c r="C7" s="6" t="n">
        <v>105</v>
      </c>
      <c r="D7" s="6" t="n">
        <v>10</v>
      </c>
      <c r="E7" s="6">
        <f>SUM(B7:D7)</f>
        <v/>
      </c>
      <c r="F7" s="7">
        <f>E7/E$19</f>
        <v/>
      </c>
      <c r="G7" s="8" t="n">
        <v>0.28</v>
      </c>
      <c r="H7" s="6" t="n">
        <v>4</v>
      </c>
    </row>
    <row r="8">
      <c r="A8" s="3" t="inlineStr">
        <is>
          <t>Grid &amp; Permits</t>
        </is>
      </c>
      <c r="B8" s="3" t="n">
        <v>6</v>
      </c>
      <c r="C8" s="3" t="n">
        <v>10</v>
      </c>
      <c r="D8" s="3" t="n">
        <v>2</v>
      </c>
      <c r="E8" s="3">
        <f>SUM(B8:D8)</f>
        <v/>
      </c>
      <c r="F8" s="4">
        <f>E8/E$19</f>
        <v/>
      </c>
      <c r="G8" s="5" t="n">
        <v>0.5600000000000001</v>
      </c>
      <c r="H8" s="3" t="n">
        <v>0</v>
      </c>
    </row>
    <row r="9">
      <c r="A9" s="6" t="inlineStr">
        <is>
          <t>Health, Safety &amp; Environment</t>
        </is>
      </c>
      <c r="B9" s="6" t="n">
        <v>6</v>
      </c>
      <c r="C9" s="6" t="n">
        <v>8</v>
      </c>
      <c r="D9" s="6" t="n">
        <v>2</v>
      </c>
      <c r="E9" s="6">
        <f>SUM(B9:D9)</f>
        <v/>
      </c>
      <c r="F9" s="7">
        <f>E9/E$19</f>
        <v/>
      </c>
      <c r="G9" s="8" t="n">
        <v>0.4</v>
      </c>
      <c r="H9" s="6" t="n">
        <v>2</v>
      </c>
    </row>
    <row r="10">
      <c r="A10" s="3" t="inlineStr">
        <is>
          <t>Procurement &amp; Supply Chain</t>
        </is>
      </c>
      <c r="B10" s="3" t="n">
        <v>9</v>
      </c>
      <c r="C10" s="3" t="n">
        <v>5</v>
      </c>
      <c r="D10" s="3" t="n">
        <v>3</v>
      </c>
      <c r="E10" s="3">
        <f>SUM(B10:D10)</f>
        <v/>
      </c>
      <c r="F10" s="4">
        <f>E10/E$19</f>
        <v/>
      </c>
      <c r="G10" s="5" t="n">
        <v>0.58</v>
      </c>
      <c r="H10" s="3" t="n">
        <v>0</v>
      </c>
    </row>
    <row r="11">
      <c r="A11" s="6" t="inlineStr">
        <is>
          <t>Finance &amp; Controlling</t>
        </is>
      </c>
      <c r="B11" s="6" t="n">
        <v>19</v>
      </c>
      <c r="C11" s="6" t="n">
        <v>4</v>
      </c>
      <c r="D11" s="6" t="n">
        <v>1</v>
      </c>
      <c r="E11" s="6">
        <f>SUM(B11:D11)</f>
        <v/>
      </c>
      <c r="F11" s="7">
        <f>E11/E$19</f>
        <v/>
      </c>
      <c r="G11" s="8" t="n">
        <v>0.64</v>
      </c>
      <c r="H11" s="6" t="n">
        <v>2</v>
      </c>
    </row>
    <row r="12">
      <c r="A12" s="3" t="inlineStr">
        <is>
          <t>Investor Relations</t>
        </is>
      </c>
      <c r="B12" s="3" t="n">
        <v>4</v>
      </c>
      <c r="C12" s="3" t="n">
        <v>0</v>
      </c>
      <c r="D12" s="3" t="n">
        <v>0</v>
      </c>
      <c r="E12" s="3">
        <f>SUM(B12:D12)</f>
        <v/>
      </c>
      <c r="F12" s="4">
        <f>E12/E$19</f>
        <v/>
      </c>
      <c r="G12" s="5" t="n">
        <v>0.44</v>
      </c>
      <c r="H12" s="3" t="n">
        <v>1</v>
      </c>
    </row>
    <row r="13">
      <c r="A13" s="6" t="inlineStr">
        <is>
          <t>Legal &amp; Contracts</t>
        </is>
      </c>
      <c r="B13" s="6" t="n">
        <v>6</v>
      </c>
      <c r="C13" s="6" t="n">
        <v>2</v>
      </c>
      <c r="D13" s="6" t="n">
        <v>1</v>
      </c>
      <c r="E13" s="6">
        <f>SUM(B13:D13)</f>
        <v/>
      </c>
      <c r="F13" s="7">
        <f>E13/E$19</f>
        <v/>
      </c>
      <c r="G13" s="8" t="n">
        <v>0.65</v>
      </c>
      <c r="H13" s="6" t="n">
        <v>1</v>
      </c>
    </row>
    <row r="14">
      <c r="A14" s="3" t="inlineStr">
        <is>
          <t>HR &amp; People</t>
        </is>
      </c>
      <c r="B14" s="3" t="n">
        <v>8</v>
      </c>
      <c r="C14" s="3" t="n">
        <v>4</v>
      </c>
      <c r="D14" s="3" t="n">
        <v>2</v>
      </c>
      <c r="E14" s="3">
        <f>SUM(B14:D14)</f>
        <v/>
      </c>
      <c r="F14" s="4">
        <f>E14/E$19</f>
        <v/>
      </c>
      <c r="G14" s="5" t="n">
        <v>0.57</v>
      </c>
      <c r="H14" s="3" t="n">
        <v>1</v>
      </c>
    </row>
    <row r="15">
      <c r="A15" s="6" t="inlineStr">
        <is>
          <t>Community Engagement</t>
        </is>
      </c>
      <c r="B15" s="6" t="n">
        <v>2</v>
      </c>
      <c r="C15" s="6" t="n">
        <v>9</v>
      </c>
      <c r="D15" s="6" t="n">
        <v>0</v>
      </c>
      <c r="E15" s="6">
        <f>SUM(B15:D15)</f>
        <v/>
      </c>
      <c r="F15" s="7">
        <f>E15/E$19</f>
        <v/>
      </c>
      <c r="G15" s="8" t="n">
        <v>0.41</v>
      </c>
      <c r="H15" s="6" t="n">
        <v>0</v>
      </c>
    </row>
    <row r="16">
      <c r="A16" s="3" t="inlineStr">
        <is>
          <t>Marketing &amp; Communications</t>
        </is>
      </c>
      <c r="B16" s="3" t="n">
        <v>10</v>
      </c>
      <c r="C16" s="3" t="n">
        <v>2</v>
      </c>
      <c r="D16" s="3" t="n">
        <v>1</v>
      </c>
      <c r="E16" s="3">
        <f>SUM(B16:D16)</f>
        <v/>
      </c>
      <c r="F16" s="4">
        <f>E16/E$19</f>
        <v/>
      </c>
      <c r="G16" s="5" t="n">
        <v>0.48</v>
      </c>
      <c r="H16" s="3" t="n">
        <v>1</v>
      </c>
    </row>
    <row r="17">
      <c r="A17" s="6" t="inlineStr">
        <is>
          <t>IT &amp; Security</t>
        </is>
      </c>
      <c r="B17" s="6" t="n">
        <v>10</v>
      </c>
      <c r="C17" s="6" t="n">
        <v>3</v>
      </c>
      <c r="D17" s="6" t="n">
        <v>2</v>
      </c>
      <c r="E17" s="6">
        <f>SUM(B17:D17)</f>
        <v/>
      </c>
      <c r="F17" s="7">
        <f>E17/E$19</f>
        <v/>
      </c>
      <c r="G17" s="8" t="n">
        <v>0.6</v>
      </c>
      <c r="H17" s="6" t="n">
        <v>0</v>
      </c>
    </row>
    <row r="18">
      <c r="A18" s="3" t="inlineStr">
        <is>
          <t>Strategy &amp; Business Development</t>
        </is>
      </c>
      <c r="B18" s="3" t="n">
        <v>4</v>
      </c>
      <c r="C18" s="3" t="n">
        <v>2</v>
      </c>
      <c r="D18" s="3" t="n">
        <v>1</v>
      </c>
      <c r="E18" s="3">
        <f>SUM(B18:D18)</f>
        <v/>
      </c>
      <c r="F18" s="4">
        <f>E18/E$19</f>
        <v/>
      </c>
      <c r="G18" s="5" t="n">
        <v>0.63</v>
      </c>
      <c r="H18" s="3" t="n">
        <v>0</v>
      </c>
    </row>
    <row r="19">
      <c r="A19" s="6" t="inlineStr">
        <is>
          <t>Total</t>
        </is>
      </c>
      <c r="B19" s="6">
        <f>SUM(B4:B18)</f>
        <v/>
      </c>
      <c r="C19" s="6">
        <f>SUM(C4:C18)</f>
        <v/>
      </c>
      <c r="D19" s="6">
        <f>SUM(D4:D18)</f>
        <v/>
      </c>
      <c r="E19" s="6">
        <f>SUM(E4:E18)</f>
        <v/>
      </c>
      <c r="F19" s="7">
        <f>SUM(F4:F18)</f>
        <v/>
      </c>
      <c r="G19" s="8" t="n">
        <v>0.36</v>
      </c>
      <c r="H19" s="6">
        <f>SUM(H4:H18)</f>
        <v/>
      </c>
    </row>
  </sheetData>
  <autoFilter ref="A3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6" customWidth="1" min="6" max="6"/>
  </cols>
  <sheetData>
    <row r="1">
      <c r="A1" s="2" t="inlineStr">
        <is>
          <t>Month</t>
        </is>
      </c>
      <c r="B1" s="2" t="inlineStr">
        <is>
          <t>Headcount</t>
        </is>
      </c>
      <c r="C1" s="2" t="inlineStr">
        <is>
          <t>Joiners</t>
        </is>
      </c>
      <c r="D1" s="2" t="inlineStr">
        <is>
          <t>Leavers</t>
        </is>
      </c>
      <c r="E1" s="2" t="inlineStr">
        <is>
          <t>FTE</t>
        </is>
      </c>
      <c r="F1" s="2" t="inlineStr">
        <is>
          <t>Open positions</t>
        </is>
      </c>
    </row>
    <row r="2">
      <c r="A2" s="3" t="inlineStr">
        <is>
          <t>2026-01</t>
        </is>
      </c>
      <c r="B2" s="3" t="n">
        <v>421</v>
      </c>
      <c r="C2" s="3" t="n">
        <v>6</v>
      </c>
      <c r="D2" s="3" t="n">
        <v>3</v>
      </c>
      <c r="E2" s="9" t="n">
        <v>402.9</v>
      </c>
      <c r="F2" s="3" t="n">
        <v>30</v>
      </c>
    </row>
    <row r="3">
      <c r="A3" s="6" t="inlineStr">
        <is>
          <t>2026-02</t>
        </is>
      </c>
      <c r="B3" s="6" t="n">
        <v>425</v>
      </c>
      <c r="C3" s="6" t="n">
        <v>8</v>
      </c>
      <c r="D3" s="6" t="n">
        <v>4</v>
      </c>
      <c r="E3" s="10" t="n">
        <v>406.7</v>
      </c>
      <c r="F3" s="6" t="n">
        <v>29</v>
      </c>
    </row>
    <row r="4">
      <c r="A4" s="3" t="inlineStr">
        <is>
          <t>2026-03</t>
        </is>
      </c>
      <c r="B4" s="3" t="n">
        <v>428</v>
      </c>
      <c r="C4" s="3" t="n">
        <v>4</v>
      </c>
      <c r="D4" s="3" t="n">
        <v>1</v>
      </c>
      <c r="E4" s="9" t="n">
        <v>409.6</v>
      </c>
      <c r="F4" s="3" t="n">
        <v>32</v>
      </c>
    </row>
    <row r="5">
      <c r="A5" s="6" t="inlineStr">
        <is>
          <t>2026-04</t>
        </is>
      </c>
      <c r="B5" s="6" t="n">
        <v>433</v>
      </c>
      <c r="C5" s="6" t="n">
        <v>6</v>
      </c>
      <c r="D5" s="6" t="n">
        <v>1</v>
      </c>
      <c r="E5" s="10" t="n">
        <v>414.4</v>
      </c>
      <c r="F5" s="6" t="n">
        <v>27</v>
      </c>
    </row>
    <row r="6">
      <c r="A6" s="3" t="inlineStr">
        <is>
          <t>2026-05</t>
        </is>
      </c>
      <c r="B6" s="3" t="n">
        <v>437</v>
      </c>
      <c r="C6" s="3" t="n">
        <v>6</v>
      </c>
      <c r="D6" s="3" t="n">
        <v>2</v>
      </c>
      <c r="E6" s="9" t="n">
        <v>418.2</v>
      </c>
      <c r="F6" s="3" t="n">
        <v>32</v>
      </c>
    </row>
    <row r="7">
      <c r="A7" s="6" t="inlineStr">
        <is>
          <t>2026-06</t>
        </is>
      </c>
      <c r="B7" s="6" t="n">
        <v>440</v>
      </c>
      <c r="C7" s="6" t="n">
        <v>7</v>
      </c>
      <c r="D7" s="6" t="n">
        <v>4</v>
      </c>
      <c r="E7" s="10" t="n">
        <v>421.1</v>
      </c>
      <c r="F7" s="6" t="n">
        <v>33</v>
      </c>
    </row>
    <row r="8">
      <c r="A8" s="3" t="inlineStr">
        <is>
          <t>2026-07</t>
        </is>
      </c>
      <c r="B8" s="3" t="n">
        <v>444</v>
      </c>
      <c r="C8" s="3" t="n">
        <v>5</v>
      </c>
      <c r="D8" s="3" t="n">
        <v>1</v>
      </c>
      <c r="E8" s="9" t="n">
        <v>424.9</v>
      </c>
      <c r="F8" s="3" t="n">
        <v>30</v>
      </c>
    </row>
    <row r="9">
      <c r="A9" s="6" t="inlineStr">
        <is>
          <t>2026-08</t>
        </is>
      </c>
      <c r="B9" s="6" t="n">
        <v>447</v>
      </c>
      <c r="C9" s="6" t="n">
        <v>7</v>
      </c>
      <c r="D9" s="6" t="n">
        <v>4</v>
      </c>
      <c r="E9" s="10" t="n">
        <v>427.8</v>
      </c>
      <c r="F9" s="6" t="n">
        <v>26</v>
      </c>
    </row>
    <row r="10">
      <c r="A10" s="3" t="inlineStr">
        <is>
          <t>2026-09</t>
        </is>
      </c>
      <c r="B10" s="3" t="n">
        <v>450</v>
      </c>
      <c r="C10" s="3" t="n">
        <v>5</v>
      </c>
      <c r="D10" s="3" t="n">
        <v>2</v>
      </c>
      <c r="E10" s="9" t="n">
        <v>430.6</v>
      </c>
      <c r="F10" s="3" t="n">
        <v>31</v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40" customWidth="1" min="3" max="3"/>
  </cols>
  <sheetData>
    <row r="1">
      <c r="A1" s="2" t="inlineStr">
        <is>
          <t>Contract type</t>
        </is>
      </c>
      <c r="B1" s="2" t="inlineStr">
        <is>
          <t>Count</t>
        </is>
      </c>
      <c r="C1" s="2" t="inlineStr">
        <is>
          <t>Comment</t>
        </is>
      </c>
    </row>
    <row r="2">
      <c r="A2" s="3" t="inlineStr">
        <is>
          <t>Permanent full-time</t>
        </is>
      </c>
      <c r="B2" s="3" t="n">
        <v>391</v>
      </c>
      <c r="C2" s="3" t="inlineStr"/>
    </row>
    <row r="3">
      <c r="A3" s="6" t="inlineStr">
        <is>
          <t>Permanent part-time</t>
        </is>
      </c>
      <c r="B3" s="6" t="n">
        <v>31</v>
      </c>
      <c r="C3" s="6" t="inlineStr">
        <is>
          <t>incl. 9 parental part-time</t>
        </is>
      </c>
    </row>
    <row r="4">
      <c r="A4" s="3" t="inlineStr">
        <is>
          <t>Fixed-term</t>
        </is>
      </c>
      <c r="B4" s="3" t="n">
        <v>17</v>
      </c>
      <c r="C4" s="3" t="inlineStr">
        <is>
          <t>mostly Harrow Bay construction phase</t>
        </is>
      </c>
    </row>
    <row r="5">
      <c r="A5" s="6" t="inlineStr">
        <is>
          <t>Working students / interns</t>
        </is>
      </c>
      <c r="B5" s="6" t="n">
        <v>11</v>
      </c>
      <c r="C5" s="6" t="inlineStr">
        <is>
          <t>Hamburg and Copenhagen</t>
        </is>
      </c>
    </row>
    <row r="6">
      <c r="A6" s="3" t="inlineStr">
        <is>
          <t>Total</t>
        </is>
      </c>
      <c r="B6" s="3">
        <f>SUM(B2:B5)</f>
        <v/>
      </c>
      <c r="C6" s="3" t="inlineStr"/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2" t="inlineStr">
        <is>
          <t>Age band</t>
        </is>
      </c>
      <c r="B1" s="2" t="inlineStr">
        <is>
          <t>Count</t>
        </is>
      </c>
    </row>
    <row r="2">
      <c r="A2" s="3" t="inlineStr">
        <is>
          <t>&lt; 25</t>
        </is>
      </c>
      <c r="B2" s="3" t="n">
        <v>28</v>
      </c>
    </row>
    <row r="3">
      <c r="A3" s="6" t="inlineStr">
        <is>
          <t>25–34</t>
        </is>
      </c>
      <c r="B3" s="6" t="n">
        <v>141</v>
      </c>
    </row>
    <row r="4">
      <c r="A4" s="3" t="inlineStr">
        <is>
          <t>35–44</t>
        </is>
      </c>
      <c r="B4" s="3" t="n">
        <v>139</v>
      </c>
    </row>
    <row r="5">
      <c r="A5" s="6" t="inlineStr">
        <is>
          <t>45–54</t>
        </is>
      </c>
      <c r="B5" s="6" t="n">
        <v>94</v>
      </c>
    </row>
    <row r="6">
      <c r="A6" s="3" t="inlineStr">
        <is>
          <t>55+</t>
        </is>
      </c>
      <c r="B6" s="3" t="n">
        <v>48</v>
      </c>
    </row>
    <row r="7">
      <c r="A7" s="6" t="inlineStr">
        <is>
          <t>Total</t>
        </is>
      </c>
      <c r="B7" s="6">
        <f>SUM(B2:B6)</f>
        <v/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2026-10-01T10:00:00Z</dcterms:created>
  <dcterms:modified xmlns:dcterms="http://purl.org/dc/terms/" xmlns:xsi="http://www.w3.org/2001/XMLSchema-instance" xsi:type="dcterms:W3CDTF">2026-10-04T19:30:28Z</dcterms:modified>
  <cp:lastModifiedBy>Julia Hoffmann</cp:lastModifiedBy>
</cp:coreProperties>
</file>