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Stack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Scenarios" sheetId="4" state="visible" r:id="rId4"/>
  </sheets>
  <definedNames>
    <definedName name="_xlnm._FilterDatabase" localSheetId="0" hidden="1">'Assumptions'!$A$1:$D$11</definedName>
    <definedName name="_xlnm._FilterDatabase" localSheetId="1" hidden="1">'Stack'!$A$1:$P$7</definedName>
    <definedName name="_xlnm._FilterDatabase" localSheetId="2" hidden="1">'Cash flow'!$A$1:$E$17</definedName>
    <definedName name="_xlnm._FilterDatabase" localSheetId="3" hidden="1">'Scenarios'!$A$1:$C$4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  <xf numFmtId="4" fontId="1" fillId="0" borderId="1" pivotButton="0" quotePrefix="0" xfId="0"/>
    <xf numFmtId="164" fontId="1" fillId="0" borderId="1" pivotButton="0" quotePrefix="0" xfId="0"/>
    <xf numFmtId="4" fontId="1" fillId="3" borderId="1" pivotButton="0" quotePrefix="0" xfId="0"/>
    <xf numFmtId="164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22" customWidth="1" min="3" max="3"/>
    <col width="44" customWidth="1" min="4" max="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Comment</t>
        </is>
      </c>
    </row>
    <row r="2">
      <c r="A2" s="2" t="inlineStr">
        <is>
          <t>Power</t>
        </is>
      </c>
      <c r="B2" s="2" t="n">
        <v>100</v>
      </c>
      <c r="C2" s="2" t="inlineStr">
        <is>
          <t>MW</t>
        </is>
      </c>
      <c r="D2" s="2" t="inlineStr">
        <is>
          <t>Grid application July 2026</t>
        </is>
      </c>
    </row>
    <row r="3">
      <c r="A3" s="3" t="inlineStr">
        <is>
          <t>Energy</t>
        </is>
      </c>
      <c r="B3" s="3" t="n">
        <v>200</v>
      </c>
      <c r="C3" s="3" t="inlineStr">
        <is>
          <t>MWh</t>
        </is>
      </c>
      <c r="D3" s="3" t="inlineStr">
        <is>
          <t>2-hour duration</t>
        </is>
      </c>
    </row>
    <row r="4">
      <c r="A4" s="2" t="inlineStr">
        <is>
          <t>Round-trip efficiency</t>
        </is>
      </c>
      <c r="B4" s="2" t="n">
        <v>0.86</v>
      </c>
      <c r="C4" s="2" t="inlineStr"/>
      <c r="D4" s="2" t="inlineStr">
        <is>
          <t>At point of connection, BoL</t>
        </is>
      </c>
    </row>
    <row r="5">
      <c r="A5" s="3" t="inlineStr">
        <is>
          <t>Cycles per year</t>
        </is>
      </c>
      <c r="B5" s="3" t="n">
        <v>365</v>
      </c>
      <c r="C5" s="3" t="inlineStr">
        <is>
          <t>cycles</t>
        </is>
      </c>
      <c r="D5" s="3" t="inlineStr">
        <is>
          <t>Warranty limit 1.2 cycles/day</t>
        </is>
      </c>
    </row>
    <row r="6">
      <c r="A6" s="2" t="inlineStr">
        <is>
          <t>Capex</t>
        </is>
      </c>
      <c r="B6" s="2" t="n">
        <v>64</v>
      </c>
      <c r="C6" s="2" t="inlineStr">
        <is>
          <t>EUR m</t>
        </is>
      </c>
      <c r="D6" s="2" t="inlineStr">
        <is>
          <t>Incl. grid, excl. development</t>
        </is>
      </c>
    </row>
    <row r="7">
      <c r="A7" s="3" t="inlineStr">
        <is>
          <t>Opex</t>
        </is>
      </c>
      <c r="B7" s="3" t="n">
        <v>11.5</v>
      </c>
      <c r="C7" s="3" t="inlineStr">
        <is>
          <t>EUR k/MW/a</t>
        </is>
      </c>
      <c r="D7" s="3" t="inlineStr">
        <is>
          <t>O&amp;M, insurance, rent, optimiser fee</t>
        </is>
      </c>
    </row>
    <row r="8">
      <c r="A8" s="2" t="inlineStr">
        <is>
          <t>Optimiser fee</t>
        </is>
      </c>
      <c r="B8" s="2" t="n">
        <v>0.07000000000000001</v>
      </c>
      <c r="C8" s="2" t="inlineStr">
        <is>
          <t>of trading revenue</t>
        </is>
      </c>
      <c r="D8" s="2" t="inlineStr">
        <is>
          <t>Indicative from two optimisers</t>
        </is>
      </c>
    </row>
    <row r="9">
      <c r="A9" s="3" t="inlineStr">
        <is>
          <t>Capacity market de-rating (2h)</t>
        </is>
      </c>
      <c r="B9" s="3" t="n">
        <v>0.21</v>
      </c>
      <c r="C9" s="3" t="inlineStr"/>
      <c r="D9" s="3" t="inlineStr">
        <is>
          <t>Applied to connection capacity</t>
        </is>
      </c>
    </row>
    <row r="10">
      <c r="A10" s="2" t="inlineStr">
        <is>
          <t>Clearing price capacity market</t>
        </is>
      </c>
      <c r="B10" s="2" t="n">
        <v>76</v>
      </c>
      <c r="C10" s="2" t="inlineStr">
        <is>
          <t>EUR k/MW(derated)/a</t>
        </is>
      </c>
      <c r="D10" s="2" t="inlineStr">
        <is>
          <t>Recent auctions, held flat real</t>
        </is>
      </c>
    </row>
    <row r="11">
      <c r="A11" s="3" t="inlineStr">
        <is>
          <t>COD</t>
        </is>
      </c>
      <c r="B11" s="3" t="inlineStr">
        <is>
          <t>2029-09-30</t>
        </is>
      </c>
      <c r="C11" s="3" t="inlineStr"/>
      <c r="D11" s="3" t="inlineStr">
        <is>
          <t>Subject to grid offer</t>
        </is>
      </c>
    </row>
  </sheetData>
  <autoFilter ref="A1:D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Revenue stream (EUR k/MW/a)</t>
        </is>
      </c>
      <c r="B1" s="1" t="n">
        <v>2029</v>
      </c>
      <c r="C1" s="1" t="n">
        <v>2030</v>
      </c>
      <c r="D1" s="1" t="n">
        <v>2031</v>
      </c>
      <c r="E1" s="1" t="n">
        <v>2032</v>
      </c>
      <c r="F1" s="1" t="n">
        <v>2033</v>
      </c>
      <c r="G1" s="1" t="n">
        <v>2034</v>
      </c>
      <c r="H1" s="1" t="n">
        <v>2035</v>
      </c>
      <c r="I1" s="1" t="n">
        <v>2036</v>
      </c>
      <c r="J1" s="1" t="n">
        <v>2037</v>
      </c>
      <c r="K1" s="1" t="n">
        <v>2038</v>
      </c>
      <c r="L1" s="1" t="n">
        <v>2039</v>
      </c>
      <c r="M1" s="1" t="n">
        <v>2040</v>
      </c>
      <c r="N1" s="1" t="n">
        <v>2041</v>
      </c>
      <c r="O1" s="1" t="n">
        <v>2042</v>
      </c>
      <c r="P1" s="1" t="n">
        <v>2043</v>
      </c>
    </row>
    <row r="2">
      <c r="A2" s="2" t="inlineStr">
        <is>
          <t>Frequency response (DC/DM/DR)</t>
        </is>
      </c>
      <c r="B2" s="2" t="n">
        <v>62</v>
      </c>
      <c r="C2" s="2" t="n">
        <v>52</v>
      </c>
      <c r="D2" s="2" t="n">
        <v>44</v>
      </c>
      <c r="E2" s="2" t="n">
        <v>38</v>
      </c>
      <c r="F2" s="2" t="n">
        <v>34</v>
      </c>
      <c r="G2" s="2" t="n">
        <v>31</v>
      </c>
      <c r="H2" s="2" t="n">
        <v>29</v>
      </c>
      <c r="I2" s="2" t="n">
        <v>27</v>
      </c>
      <c r="J2" s="2" t="n">
        <v>26</v>
      </c>
      <c r="K2" s="2" t="n">
        <v>25</v>
      </c>
      <c r="L2" s="2" t="n">
        <v>24</v>
      </c>
      <c r="M2" s="2" t="n">
        <v>23</v>
      </c>
      <c r="N2" s="2" t="n">
        <v>22</v>
      </c>
      <c r="O2" s="2" t="n">
        <v>22</v>
      </c>
      <c r="P2" s="2" t="n">
        <v>21</v>
      </c>
    </row>
    <row r="3">
      <c r="A3" s="3" t="inlineStr">
        <is>
          <t>Wholesale arbitrage</t>
        </is>
      </c>
      <c r="B3" s="3" t="n">
        <v>38</v>
      </c>
      <c r="C3" s="3" t="n">
        <v>44</v>
      </c>
      <c r="D3" s="3" t="n">
        <v>49</v>
      </c>
      <c r="E3" s="3" t="n">
        <v>53</v>
      </c>
      <c r="F3" s="3" t="n">
        <v>56</v>
      </c>
      <c r="G3" s="3" t="n">
        <v>58</v>
      </c>
      <c r="H3" s="3" t="n">
        <v>60</v>
      </c>
      <c r="I3" s="3" t="n">
        <v>61</v>
      </c>
      <c r="J3" s="3" t="n">
        <v>62</v>
      </c>
      <c r="K3" s="3" t="n">
        <v>62</v>
      </c>
      <c r="L3" s="3" t="n">
        <v>63</v>
      </c>
      <c r="M3" s="3" t="n">
        <v>63</v>
      </c>
      <c r="N3" s="3" t="n">
        <v>63</v>
      </c>
      <c r="O3" s="3" t="n">
        <v>63</v>
      </c>
      <c r="P3" s="3" t="n">
        <v>63</v>
      </c>
    </row>
    <row r="4">
      <c r="A4" s="2" t="inlineStr">
        <is>
          <t>Balancing Mechanism</t>
        </is>
      </c>
      <c r="B4" s="2" t="n">
        <v>21</v>
      </c>
      <c r="C4" s="2" t="n">
        <v>23</v>
      </c>
      <c r="D4" s="2" t="n">
        <v>24</v>
      </c>
      <c r="E4" s="2" t="n">
        <v>25</v>
      </c>
      <c r="F4" s="2" t="n">
        <v>25</v>
      </c>
      <c r="G4" s="2" t="n">
        <v>25</v>
      </c>
      <c r="H4" s="2" t="n">
        <v>24</v>
      </c>
      <c r="I4" s="2" t="n">
        <v>24</v>
      </c>
      <c r="J4" s="2" t="n">
        <v>23</v>
      </c>
      <c r="K4" s="2" t="n">
        <v>23</v>
      </c>
      <c r="L4" s="2" t="n">
        <v>22</v>
      </c>
      <c r="M4" s="2" t="n">
        <v>22</v>
      </c>
      <c r="N4" s="2" t="n">
        <v>22</v>
      </c>
      <c r="O4" s="2" t="n">
        <v>21</v>
      </c>
      <c r="P4" s="2" t="n">
        <v>21</v>
      </c>
    </row>
    <row r="5">
      <c r="A5" s="3" t="inlineStr">
        <is>
          <t>Capacity market</t>
        </is>
      </c>
      <c r="B5" s="3" t="n">
        <v>16</v>
      </c>
      <c r="C5" s="3" t="n">
        <v>16</v>
      </c>
      <c r="D5" s="3" t="n">
        <v>16</v>
      </c>
      <c r="E5" s="3" t="n">
        <v>16</v>
      </c>
      <c r="F5" s="3" t="n">
        <v>16</v>
      </c>
      <c r="G5" s="3" t="n">
        <v>16</v>
      </c>
      <c r="H5" s="3" t="n">
        <v>16</v>
      </c>
      <c r="I5" s="3" t="n">
        <v>16</v>
      </c>
      <c r="J5" s="3" t="n">
        <v>16</v>
      </c>
      <c r="K5" s="3" t="n">
        <v>16</v>
      </c>
      <c r="L5" s="3" t="n">
        <v>16</v>
      </c>
      <c r="M5" s="3" t="n">
        <v>16</v>
      </c>
      <c r="N5" s="3" t="n">
        <v>16</v>
      </c>
      <c r="O5" s="3" t="n">
        <v>16</v>
      </c>
      <c r="P5" s="3" t="n">
        <v>16</v>
      </c>
    </row>
    <row r="6">
      <c r="A6" s="2" t="inlineStr">
        <is>
          <t>Stability / reactive services</t>
        </is>
      </c>
      <c r="B6" s="2" t="n">
        <v>4</v>
      </c>
      <c r="C6" s="2" t="n">
        <v>5</v>
      </c>
      <c r="D6" s="2" t="n">
        <v>6</v>
      </c>
      <c r="E6" s="2" t="n">
        <v>6</v>
      </c>
      <c r="F6" s="2" t="n">
        <v>6</v>
      </c>
      <c r="G6" s="2" t="n">
        <v>6</v>
      </c>
      <c r="H6" s="2" t="n">
        <v>6</v>
      </c>
      <c r="I6" s="2" t="n">
        <v>6</v>
      </c>
      <c r="J6" s="2" t="n">
        <v>6</v>
      </c>
      <c r="K6" s="2" t="n">
        <v>6</v>
      </c>
      <c r="L6" s="2" t="n">
        <v>6</v>
      </c>
      <c r="M6" s="2" t="n">
        <v>6</v>
      </c>
      <c r="N6" s="2" t="n">
        <v>6</v>
      </c>
      <c r="O6" s="2" t="n">
        <v>6</v>
      </c>
      <c r="P6" s="2" t="n">
        <v>6</v>
      </c>
    </row>
    <row r="7">
      <c r="A7" s="3" t="inlineStr">
        <is>
          <t>Total</t>
        </is>
      </c>
      <c r="B7" s="3">
        <f>SUM(B2:B6)</f>
        <v/>
      </c>
      <c r="C7" s="3">
        <f>SUM(C2:C6)</f>
        <v/>
      </c>
      <c r="D7" s="3">
        <f>SUM(D2:D6)</f>
        <v/>
      </c>
      <c r="E7" s="3">
        <f>SUM(E2:E6)</f>
        <v/>
      </c>
      <c r="F7" s="3">
        <f>SUM(F2:F6)</f>
        <v/>
      </c>
      <c r="G7" s="3">
        <f>SUM(G2:G6)</f>
        <v/>
      </c>
      <c r="H7" s="3">
        <f>SUM(H2:H6)</f>
        <v/>
      </c>
      <c r="I7" s="3">
        <f>SUM(I2:I6)</f>
        <v/>
      </c>
      <c r="J7" s="3">
        <f>SUM(J2:J6)</f>
        <v/>
      </c>
      <c r="K7" s="3">
        <f>SUM(K2:K6)</f>
        <v/>
      </c>
      <c r="L7" s="3">
        <f>SUM(L2:L6)</f>
        <v/>
      </c>
      <c r="M7" s="3">
        <f>SUM(M2:M6)</f>
        <v/>
      </c>
      <c r="N7" s="3">
        <f>SUM(N2:N6)</f>
        <v/>
      </c>
      <c r="O7" s="3">
        <f>SUM(O2:O6)</f>
        <v/>
      </c>
      <c r="P7" s="3">
        <f>SUM(P2:P6)</f>
        <v/>
      </c>
    </row>
  </sheetData>
  <autoFilter ref="A1:P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4" customWidth="1" min="3" max="3"/>
    <col width="16" customWidth="1" min="4" max="4"/>
    <col width="20" customWidth="1" min="5" max="5"/>
  </cols>
  <sheetData>
    <row r="1">
      <c r="A1" s="1" t="inlineStr">
        <is>
          <t>Year</t>
        </is>
      </c>
      <c r="B1" s="1" t="inlineStr">
        <is>
          <t>Revenue (EUR m)</t>
        </is>
      </c>
      <c r="C1" s="1" t="inlineStr">
        <is>
          <t>Opex (EUR m)</t>
        </is>
      </c>
      <c r="D1" s="1" t="inlineStr">
        <is>
          <t>EBITDA (EUR m)</t>
        </is>
      </c>
      <c r="E1" s="1" t="inlineStr">
        <is>
          <t>Degradation factor</t>
        </is>
      </c>
    </row>
    <row r="2">
      <c r="A2" s="2" t="n">
        <v>2029</v>
      </c>
      <c r="B2" s="4">
        <f>Stack!B7*100/1000</f>
        <v/>
      </c>
      <c r="C2" s="4">
        <f>Assumptions!B7*100/1000*(1.025^(2029-2029))</f>
        <v/>
      </c>
      <c r="D2" s="4">
        <f>B2-C2</f>
        <v/>
      </c>
      <c r="E2" s="5" t="n">
        <v>1</v>
      </c>
    </row>
    <row r="3">
      <c r="A3" s="3" t="n">
        <v>2030</v>
      </c>
      <c r="B3" s="6">
        <f>Stack!C7*100/1000</f>
        <v/>
      </c>
      <c r="C3" s="6">
        <f>Assumptions!B7*100/1000*(1.025^(2030-2029))</f>
        <v/>
      </c>
      <c r="D3" s="6">
        <f>B3-C3</f>
        <v/>
      </c>
      <c r="E3" s="7" t="n">
        <v>0.98</v>
      </c>
    </row>
    <row r="4">
      <c r="A4" s="2" t="n">
        <v>2031</v>
      </c>
      <c r="B4" s="4">
        <f>Stack!D7*100/1000</f>
        <v/>
      </c>
      <c r="C4" s="4">
        <f>Assumptions!B7*100/1000*(1.025^(2031-2029))</f>
        <v/>
      </c>
      <c r="D4" s="4">
        <f>B4-C4</f>
        <v/>
      </c>
      <c r="E4" s="5" t="n">
        <v>0.96</v>
      </c>
    </row>
    <row r="5">
      <c r="A5" s="3" t="n">
        <v>2032</v>
      </c>
      <c r="B5" s="6">
        <f>Stack!E7*100/1000</f>
        <v/>
      </c>
      <c r="C5" s="6">
        <f>Assumptions!B7*100/1000*(1.025^(2032-2029))</f>
        <v/>
      </c>
      <c r="D5" s="6">
        <f>B5-C5</f>
        <v/>
      </c>
      <c r="E5" s="7" t="n">
        <v>0.9409999999999999</v>
      </c>
    </row>
    <row r="6">
      <c r="A6" s="2" t="n">
        <v>2033</v>
      </c>
      <c r="B6" s="4">
        <f>Stack!F7*100/1000</f>
        <v/>
      </c>
      <c r="C6" s="4">
        <f>Assumptions!B7*100/1000*(1.025^(2033-2029))</f>
        <v/>
      </c>
      <c r="D6" s="4">
        <f>B6-C6</f>
        <v/>
      </c>
      <c r="E6" s="5" t="n">
        <v>0.922</v>
      </c>
    </row>
    <row r="7">
      <c r="A7" s="3" t="n">
        <v>2034</v>
      </c>
      <c r="B7" s="6">
        <f>Stack!G7*100/1000</f>
        <v/>
      </c>
      <c r="C7" s="6">
        <f>Assumptions!B7*100/1000*(1.025^(2034-2029))</f>
        <v/>
      </c>
      <c r="D7" s="6">
        <f>B7-C7</f>
        <v/>
      </c>
      <c r="E7" s="7" t="n">
        <v>0.904</v>
      </c>
    </row>
    <row r="8">
      <c r="A8" s="2" t="n">
        <v>2035</v>
      </c>
      <c r="B8" s="4">
        <f>Stack!H7*100/1000</f>
        <v/>
      </c>
      <c r="C8" s="4">
        <f>Assumptions!B7*100/1000*(1.025^(2035-2029))</f>
        <v/>
      </c>
      <c r="D8" s="4">
        <f>B8-C8</f>
        <v/>
      </c>
      <c r="E8" s="5" t="n">
        <v>0.886</v>
      </c>
    </row>
    <row r="9">
      <c r="A9" s="3" t="n">
        <v>2036</v>
      </c>
      <c r="B9" s="6">
        <f>Stack!I7*100/1000</f>
        <v/>
      </c>
      <c r="C9" s="6">
        <f>Assumptions!B7*100/1000*(1.025^(2036-2029))</f>
        <v/>
      </c>
      <c r="D9" s="6">
        <f>B9-C9</f>
        <v/>
      </c>
      <c r="E9" s="7" t="n">
        <v>0.868</v>
      </c>
    </row>
    <row r="10">
      <c r="A10" s="2" t="n">
        <v>2037</v>
      </c>
      <c r="B10" s="4">
        <f>Stack!J7*100/1000</f>
        <v/>
      </c>
      <c r="C10" s="4">
        <f>Assumptions!B7*100/1000*(1.025^(2037-2029))</f>
        <v/>
      </c>
      <c r="D10" s="4">
        <f>B10-C10</f>
        <v/>
      </c>
      <c r="E10" s="5" t="n">
        <v>0.851</v>
      </c>
    </row>
    <row r="11">
      <c r="A11" s="3" t="n">
        <v>2038</v>
      </c>
      <c r="B11" s="6">
        <f>Stack!K7*100/1000</f>
        <v/>
      </c>
      <c r="C11" s="6">
        <f>Assumptions!B7*100/1000*(1.025^(2038-2029))</f>
        <v/>
      </c>
      <c r="D11" s="6">
        <f>B11-C11</f>
        <v/>
      </c>
      <c r="E11" s="7" t="n">
        <v>0.834</v>
      </c>
    </row>
    <row r="12">
      <c r="A12" s="2" t="n">
        <v>2039</v>
      </c>
      <c r="B12" s="4">
        <f>Stack!L7*100/1000</f>
        <v/>
      </c>
      <c r="C12" s="4">
        <f>Assumptions!B7*100/1000*(1.025^(2039-2029))</f>
        <v/>
      </c>
      <c r="D12" s="4">
        <f>B12-C12</f>
        <v/>
      </c>
      <c r="E12" s="5" t="n">
        <v>0.8169999999999999</v>
      </c>
    </row>
    <row r="13">
      <c r="A13" s="3" t="n">
        <v>2040</v>
      </c>
      <c r="B13" s="6">
        <f>Stack!M7*100/1000</f>
        <v/>
      </c>
      <c r="C13" s="6">
        <f>Assumptions!B7*100/1000*(1.025^(2040-2029))</f>
        <v/>
      </c>
      <c r="D13" s="6">
        <f>B13-C13</f>
        <v/>
      </c>
      <c r="E13" s="7" t="n">
        <v>0.801</v>
      </c>
    </row>
    <row r="14">
      <c r="A14" s="2" t="n">
        <v>2041</v>
      </c>
      <c r="B14" s="4">
        <f>Stack!N7*100/1000</f>
        <v/>
      </c>
      <c r="C14" s="4">
        <f>Assumptions!B7*100/1000*(1.025^(2041-2029))</f>
        <v/>
      </c>
      <c r="D14" s="4">
        <f>B14-C14</f>
        <v/>
      </c>
      <c r="E14" s="5" t="n">
        <v>0.785</v>
      </c>
    </row>
    <row r="15">
      <c r="A15" s="3" t="n">
        <v>2042</v>
      </c>
      <c r="B15" s="6">
        <f>Stack!O7*100/1000</f>
        <v/>
      </c>
      <c r="C15" s="6">
        <f>Assumptions!B7*100/1000*(1.025^(2042-2029))</f>
        <v/>
      </c>
      <c r="D15" s="6">
        <f>B15-C15</f>
        <v/>
      </c>
      <c r="E15" s="7" t="n">
        <v>0.769</v>
      </c>
    </row>
    <row r="16">
      <c r="A16" s="2" t="n">
        <v>2043</v>
      </c>
      <c r="B16" s="4">
        <f>Stack!P7*100/1000</f>
        <v/>
      </c>
      <c r="C16" s="4">
        <f>Assumptions!B7*100/1000*(1.025^(2043-2029))</f>
        <v/>
      </c>
      <c r="D16" s="4">
        <f>B16-C16</f>
        <v/>
      </c>
      <c r="E16" s="5" t="n">
        <v>0.754</v>
      </c>
    </row>
    <row r="17">
      <c r="A17" s="3" t="inlineStr">
        <is>
          <t>Total</t>
        </is>
      </c>
      <c r="B17" s="6">
        <f>SUM(B2:B16)</f>
        <v/>
      </c>
      <c r="C17" s="6">
        <f>SUM(C2:C16)</f>
        <v/>
      </c>
      <c r="D17" s="6">
        <f>SUM(D2:D16)</f>
        <v/>
      </c>
      <c r="E17" s="7" t="inlineStr"/>
    </row>
  </sheetData>
  <autoFilter ref="A1:E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70" customWidth="1" min="3" max="3"/>
  </cols>
  <sheetData>
    <row r="1">
      <c r="A1" s="1" t="inlineStr">
        <is>
          <t>Scenario</t>
        </is>
      </c>
      <c r="B1" s="1" t="inlineStr">
        <is>
          <t>Avg revenue first 10 years (EUR k/MW/a)</t>
        </is>
      </c>
      <c r="C1" s="1" t="inlineStr">
        <is>
          <t>Key drivers</t>
        </is>
      </c>
    </row>
    <row r="2">
      <c r="A2" s="2" t="inlineStr">
        <is>
          <t>Low</t>
        </is>
      </c>
      <c r="B2" s="2" t="n">
        <v>106.5</v>
      </c>
      <c r="C2" s="2" t="inlineStr">
        <is>
          <t>Ancillary service saturation by 2030, low spreads, non-firm connection</t>
        </is>
      </c>
    </row>
    <row r="3">
      <c r="A3" s="3" t="inlineStr">
        <is>
          <t>Base</t>
        </is>
      </c>
      <c r="B3" s="3" t="n">
        <v>136.5</v>
      </c>
      <c r="C3" s="3" t="inlineStr">
        <is>
          <t>Central market view (two independent forecasters, averaged)</t>
        </is>
      </c>
    </row>
    <row r="4">
      <c r="A4" s="2" t="inlineStr">
        <is>
          <t>High</t>
        </is>
      </c>
      <c r="B4" s="2" t="n">
        <v>165.2</v>
      </c>
      <c r="C4" s="2" t="inlineStr">
        <is>
          <t>Higher gas price volatility, slower BESS build-out</t>
        </is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Liam McAllister</dc:creator>
  <dcterms:created xmlns:dcterms="http://purl.org/dc/terms/" xmlns:xsi="http://www.w3.org/2001/XMLSchema-instance" xsi:type="dcterms:W3CDTF">2026-05-25T10:00:00Z</dcterms:created>
  <dcterms:modified xmlns:dcterms="http://purl.org/dc/terms/" xmlns:xsi="http://www.w3.org/2001/XMLSchema-instance" xsi:type="dcterms:W3CDTF">2026-10-04T19:30:23Z</dcterms:modified>
  <cp:lastModifiedBy>Liam McAllister</cp:lastModifiedBy>
</cp:coreProperties>
</file>