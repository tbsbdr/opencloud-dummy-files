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E plan" sheetId="1" state="visible" r:id="rId1"/>
    <sheet xmlns:r="http://schemas.openxmlformats.org/officeDocument/2006/relationships" name="Allocation" sheetId="2" state="visible" r:id="rId2"/>
  </sheets>
  <definedNames>
    <definedName name="_xlnm._FilterDatabase" localSheetId="0" hidden="1">'FTE plan'!$A$1:$O$10</definedName>
    <definedName name="_xlnm._FilterDatabase" localSheetId="1" hidden="1">'Allocation'!$A$1:$B$8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  <xf numFmtId="9" fontId="1" fillId="0" borderId="1" pivotButton="0" quotePrefix="0" xfId="0"/>
    <xf numFmtId="9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  <c r="I1" s="1" t="inlineStr">
        <is>
          <t>2026-07</t>
        </is>
      </c>
      <c r="J1" s="1" t="inlineStr">
        <is>
          <t>2026-08</t>
        </is>
      </c>
      <c r="K1" s="1" t="inlineStr">
        <is>
          <t>2026-09</t>
        </is>
      </c>
      <c r="L1" s="1" t="inlineStr">
        <is>
          <t>2026-10</t>
        </is>
      </c>
      <c r="M1" s="1" t="inlineStr">
        <is>
          <t>2026-11</t>
        </is>
      </c>
      <c r="N1" s="1" t="inlineStr">
        <is>
          <t>2026-12</t>
        </is>
      </c>
      <c r="O1" s="1" t="inlineStr">
        <is>
          <t>Total</t>
        </is>
      </c>
    </row>
    <row r="2">
      <c r="A2" s="2" t="inlineStr">
        <is>
          <t>Sofie Lindqvist</t>
        </is>
      </c>
      <c r="B2" s="2" t="inlineStr">
        <is>
          <t>Head of Engineering</t>
        </is>
      </c>
      <c r="C2" s="2" t="n">
        <v>0.7</v>
      </c>
      <c r="D2" s="2" t="n">
        <v>1</v>
      </c>
      <c r="E2" s="2" t="n">
        <v>0.9</v>
      </c>
      <c r="F2" s="2" t="n">
        <v>0.7</v>
      </c>
      <c r="G2" s="2" t="n">
        <v>0.7</v>
      </c>
      <c r="H2" s="2" t="n">
        <v>0.9</v>
      </c>
      <c r="I2" s="2" t="n">
        <v>0.6</v>
      </c>
      <c r="J2" s="2" t="n">
        <v>1</v>
      </c>
      <c r="K2" s="2" t="n">
        <v>0.6</v>
      </c>
      <c r="L2" s="2" t="n">
        <v>0.8</v>
      </c>
      <c r="M2" s="2" t="n">
        <v>0.8</v>
      </c>
      <c r="N2" s="2" t="n">
        <v>0.8</v>
      </c>
      <c r="O2" s="2">
        <f>SUM(C2:N2)</f>
        <v/>
      </c>
    </row>
    <row r="3">
      <c r="A3" s="3" t="inlineStr">
        <is>
          <t>Mei Tanaka</t>
        </is>
      </c>
      <c r="B3" s="3" t="inlineStr">
        <is>
          <t>Senior Electrical Engineer</t>
        </is>
      </c>
      <c r="C3" s="3" t="n">
        <v>0.7</v>
      </c>
      <c r="D3" s="3" t="n">
        <v>0.8</v>
      </c>
      <c r="E3" s="3" t="n">
        <v>0.8</v>
      </c>
      <c r="F3" s="3" t="n">
        <v>0.8</v>
      </c>
      <c r="G3" s="3" t="n">
        <v>1</v>
      </c>
      <c r="H3" s="3" t="n">
        <v>0.8</v>
      </c>
      <c r="I3" s="3" t="n">
        <v>0.6</v>
      </c>
      <c r="J3" s="3" t="n">
        <v>0.9</v>
      </c>
      <c r="K3" s="3" t="n">
        <v>0.8</v>
      </c>
      <c r="L3" s="3" t="n">
        <v>0.8</v>
      </c>
      <c r="M3" s="3" t="n">
        <v>0.7</v>
      </c>
      <c r="N3" s="3" t="n">
        <v>0.8</v>
      </c>
      <c r="O3" s="3">
        <f>SUM(C3:N3)</f>
        <v/>
      </c>
    </row>
    <row r="4">
      <c r="A4" s="2" t="inlineStr">
        <is>
          <t>Oliver Grant</t>
        </is>
      </c>
      <c r="B4" s="2" t="inlineStr">
        <is>
          <t>Geotechnical Engineer</t>
        </is>
      </c>
      <c r="C4" s="2" t="n">
        <v>0.8</v>
      </c>
      <c r="D4" s="2" t="n">
        <v>0.7</v>
      </c>
      <c r="E4" s="2" t="n">
        <v>0.6</v>
      </c>
      <c r="F4" s="2" t="n">
        <v>0.9</v>
      </c>
      <c r="G4" s="2" t="n">
        <v>0.6</v>
      </c>
      <c r="H4" s="2" t="n">
        <v>0.8</v>
      </c>
      <c r="I4" s="2" t="n">
        <v>0.9</v>
      </c>
      <c r="J4" s="2" t="n">
        <v>1</v>
      </c>
      <c r="K4" s="2" t="n">
        <v>0.8</v>
      </c>
      <c r="L4" s="2" t="n">
        <v>0.8</v>
      </c>
      <c r="M4" s="2" t="n">
        <v>0.9</v>
      </c>
      <c r="N4" s="2" t="n">
        <v>1</v>
      </c>
      <c r="O4" s="2">
        <f>SUM(C4:N4)</f>
        <v/>
      </c>
    </row>
    <row r="5">
      <c r="A5" s="3" t="inlineStr">
        <is>
          <t>Isabel Ferreira</t>
        </is>
      </c>
      <c r="B5" s="3" t="inlineStr">
        <is>
          <t>Hydrogen Project Engineer</t>
        </is>
      </c>
      <c r="C5" s="3" t="n">
        <v>0.9</v>
      </c>
      <c r="D5" s="3" t="n">
        <v>0.7</v>
      </c>
      <c r="E5" s="3" t="n">
        <v>0.7</v>
      </c>
      <c r="F5" s="3" t="n">
        <v>0.7</v>
      </c>
      <c r="G5" s="3" t="n">
        <v>0.8</v>
      </c>
      <c r="H5" s="3" t="n">
        <v>0.8</v>
      </c>
      <c r="I5" s="3" t="n">
        <v>0.6</v>
      </c>
      <c r="J5" s="3" t="n">
        <v>0.9</v>
      </c>
      <c r="K5" s="3" t="n">
        <v>0.6</v>
      </c>
      <c r="L5" s="3" t="n">
        <v>0.8</v>
      </c>
      <c r="M5" s="3" t="n">
        <v>0.7</v>
      </c>
      <c r="N5" s="3" t="n">
        <v>0.8</v>
      </c>
      <c r="O5" s="3">
        <f>SUM(C5:N5)</f>
        <v/>
      </c>
    </row>
    <row r="6">
      <c r="A6" s="2" t="inlineStr">
        <is>
          <t>Kwame Mensah</t>
        </is>
      </c>
      <c r="B6" s="2" t="inlineStr">
        <is>
          <t>Battery Storage Developer</t>
        </is>
      </c>
      <c r="C6" s="2" t="n">
        <v>0.9</v>
      </c>
      <c r="D6" s="2" t="n">
        <v>0.9</v>
      </c>
      <c r="E6" s="2" t="n">
        <v>0.8</v>
      </c>
      <c r="F6" s="2" t="n">
        <v>1</v>
      </c>
      <c r="G6" s="2" t="n">
        <v>0.8</v>
      </c>
      <c r="H6" s="2" t="n">
        <v>0.9</v>
      </c>
      <c r="I6" s="2" t="n">
        <v>0.8</v>
      </c>
      <c r="J6" s="2" t="n">
        <v>0.9</v>
      </c>
      <c r="K6" s="2" t="n">
        <v>0.7</v>
      </c>
      <c r="L6" s="2" t="n">
        <v>0.7</v>
      </c>
      <c r="M6" s="2" t="n">
        <v>0.9</v>
      </c>
      <c r="N6" s="2" t="n">
        <v>0.9</v>
      </c>
      <c r="O6" s="2">
        <f>SUM(C6:N6)</f>
        <v/>
      </c>
    </row>
    <row r="7">
      <c r="A7" s="3" t="inlineStr">
        <is>
          <t>Ahmed Rahimi</t>
        </is>
      </c>
      <c r="B7" s="3" t="inlineStr">
        <is>
          <t>Grid Connection Specialist</t>
        </is>
      </c>
      <c r="C7" s="3" t="n">
        <v>1</v>
      </c>
      <c r="D7" s="3" t="n">
        <v>0.8</v>
      </c>
      <c r="E7" s="3" t="n">
        <v>0.8</v>
      </c>
      <c r="F7" s="3" t="n">
        <v>0.6</v>
      </c>
      <c r="G7" s="3" t="n">
        <v>0.7</v>
      </c>
      <c r="H7" s="3" t="n">
        <v>0.7</v>
      </c>
      <c r="I7" s="3" t="n">
        <v>0.9</v>
      </c>
      <c r="J7" s="3" t="n">
        <v>0.7</v>
      </c>
      <c r="K7" s="3" t="n">
        <v>0.8</v>
      </c>
      <c r="L7" s="3" t="n">
        <v>0.7</v>
      </c>
      <c r="M7" s="3" t="n">
        <v>0.7</v>
      </c>
      <c r="N7" s="3" t="n">
        <v>0.6</v>
      </c>
      <c r="O7" s="3">
        <f>SUM(C7:N7)</f>
        <v/>
      </c>
    </row>
    <row r="8">
      <c r="A8" s="2" t="inlineStr">
        <is>
          <t>External – yield analyst</t>
        </is>
      </c>
      <c r="B8" s="2" t="inlineStr">
        <is>
          <t>Contractor</t>
        </is>
      </c>
      <c r="C8" s="2" t="n">
        <v>0.5</v>
      </c>
      <c r="D8" s="2" t="n">
        <v>0.2</v>
      </c>
      <c r="E8" s="2" t="n">
        <v>0.1</v>
      </c>
      <c r="F8" s="2" t="n">
        <v>0.2</v>
      </c>
      <c r="G8" s="2" t="n">
        <v>0</v>
      </c>
      <c r="H8" s="2" t="n">
        <v>0.5</v>
      </c>
      <c r="I8" s="2" t="n">
        <v>0</v>
      </c>
      <c r="J8" s="2" t="n">
        <v>0.4</v>
      </c>
      <c r="K8" s="2" t="n">
        <v>0.4</v>
      </c>
      <c r="L8" s="2" t="n">
        <v>0.3</v>
      </c>
      <c r="M8" s="2" t="n">
        <v>0.5</v>
      </c>
      <c r="N8" s="2" t="n">
        <v>0.1</v>
      </c>
      <c r="O8" s="2">
        <f>SUM(C8:N8)</f>
        <v/>
      </c>
    </row>
    <row r="9">
      <c r="A9" s="3" t="inlineStr">
        <is>
          <t>External – geotechnical consultant</t>
        </is>
      </c>
      <c r="B9" s="3" t="inlineStr">
        <is>
          <t>Contractor</t>
        </is>
      </c>
      <c r="C9" s="3" t="n">
        <v>0.5</v>
      </c>
      <c r="D9" s="3" t="n">
        <v>0.1</v>
      </c>
      <c r="E9" s="3" t="n">
        <v>0.5</v>
      </c>
      <c r="F9" s="3" t="n">
        <v>0</v>
      </c>
      <c r="G9" s="3" t="n">
        <v>0.6</v>
      </c>
      <c r="H9" s="3" t="n">
        <v>0.3</v>
      </c>
      <c r="I9" s="3" t="n">
        <v>0.2</v>
      </c>
      <c r="J9" s="3" t="n">
        <v>0.2</v>
      </c>
      <c r="K9" s="3" t="n">
        <v>0.5</v>
      </c>
      <c r="L9" s="3" t="n">
        <v>0.4</v>
      </c>
      <c r="M9" s="3" t="n">
        <v>0.4</v>
      </c>
      <c r="N9" s="3" t="n">
        <v>0.4</v>
      </c>
      <c r="O9" s="3">
        <f>SUM(C9:N9)</f>
        <v/>
      </c>
    </row>
    <row r="10">
      <c r="A10" s="2" t="inlineStr">
        <is>
          <t>Total FTE</t>
        </is>
      </c>
      <c r="B10" s="2" t="inlineStr"/>
      <c r="C10" s="2">
        <f>SUM(C2:C9)</f>
        <v/>
      </c>
      <c r="D10" s="2">
        <f>SUM(D2:D9)</f>
        <v/>
      </c>
      <c r="E10" s="2">
        <f>SUM(E2:E9)</f>
        <v/>
      </c>
      <c r="F10" s="2">
        <f>SUM(F2:F9)</f>
        <v/>
      </c>
      <c r="G10" s="2">
        <f>SUM(G2:G9)</f>
        <v/>
      </c>
      <c r="H10" s="2">
        <f>SUM(H2:H9)</f>
        <v/>
      </c>
      <c r="I10" s="2">
        <f>SUM(I2:I9)</f>
        <v/>
      </c>
      <c r="J10" s="2">
        <f>SUM(J2:J9)</f>
        <v/>
      </c>
      <c r="K10" s="2">
        <f>SUM(K2:K9)</f>
        <v/>
      </c>
      <c r="L10" s="2">
        <f>SUM(L2:L9)</f>
        <v/>
      </c>
      <c r="M10" s="2">
        <f>SUM(M2:M9)</f>
        <v/>
      </c>
      <c r="N10" s="2">
        <f>SUM(N2:N9)</f>
        <v/>
      </c>
      <c r="O10" s="2">
        <f>SUM(O2:O9)</f>
        <v/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1" t="inlineStr">
        <is>
          <t>Project</t>
        </is>
      </c>
      <c r="B1" s="1" t="inlineStr">
        <is>
          <t>Share of hours 2026 YTD</t>
        </is>
      </c>
    </row>
    <row r="2">
      <c r="A2" s="2" t="inlineStr">
        <is>
          <t>Harrow Bay Offshore Wind</t>
        </is>
      </c>
      <c r="B2" s="4" t="n">
        <v>0.58</v>
      </c>
    </row>
    <row r="3">
      <c r="A3" s="3" t="inlineStr">
        <is>
          <t>Millbrook Solar &amp; Storage</t>
        </is>
      </c>
      <c r="B3" s="5" t="n">
        <v>0.12</v>
      </c>
    </row>
    <row r="4">
      <c r="A4" s="2" t="inlineStr">
        <is>
          <t>Kestrel Ridge Wind Farm</t>
        </is>
      </c>
      <c r="B4" s="4" t="n">
        <v>0.07000000000000001</v>
      </c>
    </row>
    <row r="5">
      <c r="A5" s="3" t="inlineStr">
        <is>
          <t>Fenwick Battery Storage</t>
        </is>
      </c>
      <c r="B5" s="5" t="n">
        <v>0.07000000000000001</v>
      </c>
    </row>
    <row r="6">
      <c r="A6" s="2" t="inlineStr">
        <is>
          <t>Green Hydrogen Pilot</t>
        </is>
      </c>
      <c r="B6" s="4" t="n">
        <v>0.08</v>
      </c>
    </row>
    <row r="7">
      <c r="A7" s="3" t="inlineStr">
        <is>
          <t>Pipeline &amp; bids (incl. Glenmore TDD)</t>
        </is>
      </c>
      <c r="B7" s="5" t="n">
        <v>0.06</v>
      </c>
    </row>
    <row r="8">
      <c r="A8" s="2" t="inlineStr">
        <is>
          <t>Standards, tech watch</t>
        </is>
      </c>
      <c r="B8" s="4" t="n">
        <v>0.02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2025-12-08T10:00:00Z</dcterms:created>
  <dcterms:modified xmlns:dcterms="http://purl.org/dc/terms/" xmlns:xsi="http://www.w3.org/2001/XMLSchema-instance" xsi:type="dcterms:W3CDTF">2026-10-04T19:30:22Z</dcterms:modified>
  <cp:lastModifiedBy>Sofie Lindqvist</cp:lastModifiedBy>
</cp:coreProperties>
</file>