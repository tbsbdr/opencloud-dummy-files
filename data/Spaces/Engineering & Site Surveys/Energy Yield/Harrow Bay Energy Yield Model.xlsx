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osses" sheetId="2" state="visible" r:id="rId2"/>
    <sheet xmlns:r="http://schemas.openxmlformats.org/officeDocument/2006/relationships" name="Uncertainty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Monthly" sheetId="5" state="visible" r:id="rId5"/>
  </sheets>
  <definedNames>
    <definedName name="_xlnm._FilterDatabase" localSheetId="0" hidden="1">'Inputs'!$A$1:$D$6</definedName>
    <definedName name="_xlnm._FilterDatabase" localSheetId="1" hidden="1">'Losses'!$A$1:$C$8</definedName>
    <definedName name="_xlnm._FilterDatabase" localSheetId="2" hidden="1">'Uncertainty'!$A$1:$B$8</definedName>
    <definedName name="_xlnm._FilterDatabase" localSheetId="3" hidden="1">'Results'!$A$1:$C$7</definedName>
    <definedName name="_xlnm._FilterDatabase" localSheetId="4" hidden="1">'Monthly'!$A$1:$D$14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164" fontId="1" fillId="0" borderId="1" pivotButton="0" quotePrefix="0" xfId="0"/>
    <xf numFmtId="164" fontId="1" fillId="3" borderId="1" pivotButton="0" quotePrefix="0" xfId="0"/>
    <xf numFmtId="165" fontId="1" fillId="0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Installed capacity</t>
        </is>
      </c>
      <c r="B2" s="2" t="n">
        <v>480</v>
      </c>
      <c r="C2" s="2" t="inlineStr">
        <is>
          <t>MW</t>
        </is>
      </c>
      <c r="D2" s="2" t="inlineStr">
        <is>
          <t>40 × HTS-12</t>
        </is>
      </c>
    </row>
    <row r="3">
      <c r="A3" s="3" t="inlineStr">
        <is>
          <t>Hours per year</t>
        </is>
      </c>
      <c r="B3" s="3" t="n">
        <v>8760</v>
      </c>
      <c r="C3" s="3" t="inlineStr">
        <is>
          <t>h</t>
        </is>
      </c>
      <c r="D3" s="3" t="inlineStr"/>
    </row>
    <row r="4">
      <c r="A4" s="2" t="inlineStr">
        <is>
          <t>Long-term mean wind speed at 140 m</t>
        </is>
      </c>
      <c r="B4" s="2" t="n">
        <v>10.11</v>
      </c>
      <c r="C4" s="2" t="inlineStr">
        <is>
          <t>m/s</t>
        </is>
      </c>
      <c r="D4" s="2" t="inlineStr">
        <is>
          <t>HB-MET-RPT-0003 Rev 2</t>
        </is>
      </c>
    </row>
    <row r="5">
      <c r="A5" s="3" t="inlineStr">
        <is>
          <t>Gross energy</t>
        </is>
      </c>
      <c r="B5" s="3" t="n">
        <v>2287.5</v>
      </c>
      <c r="C5" s="3" t="inlineStr">
        <is>
          <t>GWh/a</t>
        </is>
      </c>
      <c r="D5" s="3" t="inlineStr">
        <is>
          <t>Flow model, free stream</t>
        </is>
      </c>
    </row>
    <row r="6">
      <c r="A6" s="2" t="inlineStr">
        <is>
          <t>Inter-annual variability (1 yr)</t>
        </is>
      </c>
      <c r="B6" s="2" t="n">
        <v>0.065</v>
      </c>
      <c r="C6" s="2" t="inlineStr"/>
      <c r="D6" s="2" t="inlineStr">
        <is>
          <t>ERA5 22 years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</cols>
  <sheetData>
    <row r="1">
      <c r="A1" s="1" t="inlineStr">
        <is>
          <t>Loss category</t>
        </is>
      </c>
      <c r="B1" s="1" t="inlineStr">
        <is>
          <t>Loss</t>
        </is>
      </c>
      <c r="C1" s="1" t="inlineStr">
        <is>
          <t>Efficiency</t>
        </is>
      </c>
    </row>
    <row r="2">
      <c r="A2" s="2" t="inlineStr">
        <is>
          <t>Wake losses (internal and external)</t>
        </is>
      </c>
      <c r="B2" s="4" t="n">
        <v>0.092</v>
      </c>
      <c r="C2" s="4">
        <f>1-B2</f>
        <v/>
      </c>
    </row>
    <row r="3">
      <c r="A3" s="3" t="inlineStr">
        <is>
          <t>Turbine availability</t>
        </is>
      </c>
      <c r="B3" s="5" t="n">
        <v>0.035</v>
      </c>
      <c r="C3" s="5">
        <f>1-B3</f>
        <v/>
      </c>
    </row>
    <row r="4">
      <c r="A4" s="2" t="inlineStr">
        <is>
          <t>Electrical losses to grid meter</t>
        </is>
      </c>
      <c r="B4" s="4" t="n">
        <v>0.024</v>
      </c>
      <c r="C4" s="4">
        <f>1-B4</f>
        <v/>
      </c>
    </row>
    <row r="5">
      <c r="A5" s="3" t="inlineStr">
        <is>
          <t>Turbine performance (power curve, hysteresis)</t>
        </is>
      </c>
      <c r="B5" s="5" t="n">
        <v>0.015</v>
      </c>
      <c r="C5" s="5">
        <f>1-B5</f>
        <v/>
      </c>
    </row>
    <row r="6">
      <c r="A6" s="2" t="inlineStr">
        <is>
          <t>Environmental (icing, blade degradation, high-wind hysteresis)</t>
        </is>
      </c>
      <c r="B6" s="4" t="n">
        <v>0.008</v>
      </c>
      <c r="C6" s="4">
        <f>1-B6</f>
        <v/>
      </c>
    </row>
    <row r="7">
      <c r="A7" s="3" t="inlineStr">
        <is>
          <t>Curtailment (grid and seabird curtailment)</t>
        </is>
      </c>
      <c r="B7" s="5" t="n">
        <v>0.006</v>
      </c>
      <c r="C7" s="5">
        <f>1-B7</f>
        <v/>
      </c>
    </row>
    <row r="8">
      <c r="A8" s="2" t="inlineStr">
        <is>
          <t>Total efficiency</t>
        </is>
      </c>
      <c r="B8" s="4">
        <f>1-C8</f>
        <v/>
      </c>
      <c r="C8" s="4">
        <f>PRODUCT(C2:C7)</f>
        <v/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Component</t>
        </is>
      </c>
      <c r="B1" s="1" t="inlineStr">
        <is>
          <t>Uncertainty</t>
        </is>
      </c>
    </row>
    <row r="2">
      <c r="A2" s="2" t="inlineStr">
        <is>
          <t>Wind measurement (floating LiDAR)</t>
        </is>
      </c>
      <c r="B2" s="4" t="n">
        <v>0.045</v>
      </c>
    </row>
    <row r="3">
      <c r="A3" s="3" t="inlineStr">
        <is>
          <t>Long-term correction (ERA5, 22 years)</t>
        </is>
      </c>
      <c r="B3" s="5" t="n">
        <v>0.032</v>
      </c>
    </row>
    <row r="4">
      <c r="A4" s="2" t="inlineStr">
        <is>
          <t>Vertical and horizontal extrapolation</t>
        </is>
      </c>
      <c r="B4" s="4" t="n">
        <v>0.03</v>
      </c>
    </row>
    <row r="5">
      <c r="A5" s="3" t="inlineStr">
        <is>
          <t>Wake and flow model</t>
        </is>
      </c>
      <c r="B5" s="5" t="n">
        <v>0.04</v>
      </c>
    </row>
    <row r="6">
      <c r="A6" s="2" t="inlineStr">
        <is>
          <t>Loss assumptions</t>
        </is>
      </c>
      <c r="B6" s="4" t="n">
        <v>0.025</v>
      </c>
    </row>
    <row r="7">
      <c r="A7" s="3" t="inlineStr">
        <is>
          <t>Power curve</t>
        </is>
      </c>
      <c r="B7" s="5" t="n">
        <v>0.03</v>
      </c>
    </row>
    <row r="8">
      <c r="A8" s="2" t="inlineStr">
        <is>
          <t>Combined (excl. IAV)</t>
        </is>
      </c>
      <c r="B8" s="4">
        <f>SQRT(SUMSQ(B2:B7))</f>
        <v/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</cols>
  <sheetData>
    <row r="1">
      <c r="A1" s="1" t="inlineStr">
        <is>
          <t>Result</t>
        </is>
      </c>
      <c r="B1" s="1" t="inlineStr">
        <is>
          <t>GWh/a</t>
        </is>
      </c>
      <c r="C1" s="1" t="inlineStr">
        <is>
          <t>Formula note</t>
        </is>
      </c>
    </row>
    <row r="2">
      <c r="A2" s="2" t="inlineStr">
        <is>
          <t>Net P50</t>
        </is>
      </c>
      <c r="B2" s="6">
        <f>Inputs!B5*Losses!C8</f>
        <v/>
      </c>
      <c r="C2" s="2" t="inlineStr">
        <is>
          <t>Gross × total efficiency</t>
        </is>
      </c>
    </row>
    <row r="3">
      <c r="A3" s="3" t="inlineStr">
        <is>
          <t>Total uncertainty 1 yr</t>
        </is>
      </c>
      <c r="B3" s="7">
        <f>SQRT(Uncertainty!B8^2+Inputs!B6^2)</f>
        <v/>
      </c>
      <c r="C3" s="3" t="inlineStr"/>
    </row>
    <row r="4">
      <c r="A4" s="2" t="inlineStr">
        <is>
          <t>Total uncertainty 10 yr</t>
        </is>
      </c>
      <c r="B4" s="6">
        <f>SQRT(Uncertainty!B8^2+(Inputs!B6/SQRT(10))^2)</f>
        <v/>
      </c>
      <c r="C4" s="2" t="inlineStr"/>
    </row>
    <row r="5">
      <c r="A5" s="3" t="inlineStr">
        <is>
          <t>Net P90 (1 yr)</t>
        </is>
      </c>
      <c r="B5" s="7">
        <f>B2*(1-1.2816*B3)</f>
        <v/>
      </c>
      <c r="C5" s="3" t="inlineStr">
        <is>
          <t>Normal distribution</t>
        </is>
      </c>
    </row>
    <row r="6">
      <c r="A6" s="2" t="inlineStr">
        <is>
          <t>Net P90 (10 yr)</t>
        </is>
      </c>
      <c r="B6" s="6">
        <f>B2*(1-1.2816*B4)</f>
        <v/>
      </c>
      <c r="C6" s="2" t="inlineStr"/>
    </row>
    <row r="7">
      <c r="A7" s="3" t="inlineStr">
        <is>
          <t>Net capacity factor</t>
        </is>
      </c>
      <c r="B7" s="7">
        <f>B2*1000/(Inputs!B2*Inputs!B3)</f>
        <v/>
      </c>
      <c r="C7" s="3" t="inlineStr"/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Mean wind speed (m/s)</t>
        </is>
      </c>
      <c r="C1" s="1" t="inlineStr">
        <is>
          <t>Share of annual energy</t>
        </is>
      </c>
      <c r="D1" s="1" t="inlineStr">
        <is>
          <t>P50 energy (GWh)</t>
        </is>
      </c>
    </row>
    <row r="2">
      <c r="A2" s="2" t="inlineStr">
        <is>
          <t>Jan</t>
        </is>
      </c>
      <c r="B2" s="2" t="n">
        <v>12</v>
      </c>
      <c r="C2" s="4" t="n">
        <v>0.1147</v>
      </c>
      <c r="D2" s="6">
        <f>C2*Results!$B$2</f>
        <v/>
      </c>
    </row>
    <row r="3">
      <c r="A3" s="3" t="inlineStr">
        <is>
          <t>Feb</t>
        </is>
      </c>
      <c r="B3" s="3" t="n">
        <v>11.7</v>
      </c>
      <c r="C3" s="5" t="n">
        <v>0.1091</v>
      </c>
      <c r="D3" s="7">
        <f>C3*Results!$B$2</f>
        <v/>
      </c>
    </row>
    <row r="4">
      <c r="A4" s="2" t="inlineStr">
        <is>
          <t>Mar</t>
        </is>
      </c>
      <c r="B4" s="2" t="n">
        <v>10.9</v>
      </c>
      <c r="C4" s="4" t="n">
        <v>0.09470000000000001</v>
      </c>
      <c r="D4" s="6">
        <f>C4*Results!$B$2</f>
        <v/>
      </c>
    </row>
    <row r="5">
      <c r="A5" s="3" t="inlineStr">
        <is>
          <t>Apr</t>
        </is>
      </c>
      <c r="B5" s="3" t="n">
        <v>9.4</v>
      </c>
      <c r="C5" s="5" t="n">
        <v>0.0704</v>
      </c>
      <c r="D5" s="7">
        <f>C5*Results!$B$2</f>
        <v/>
      </c>
    </row>
    <row r="6">
      <c r="A6" s="2" t="inlineStr">
        <is>
          <t>May</t>
        </is>
      </c>
      <c r="B6" s="2" t="n">
        <v>8.5</v>
      </c>
      <c r="C6" s="4" t="n">
        <v>0.0576</v>
      </c>
      <c r="D6" s="6">
        <f>C6*Results!$B$2</f>
        <v/>
      </c>
    </row>
    <row r="7">
      <c r="A7" s="3" t="inlineStr">
        <is>
          <t>Jun</t>
        </is>
      </c>
      <c r="B7" s="3" t="n">
        <v>8.1</v>
      </c>
      <c r="C7" s="5" t="n">
        <v>0.0523</v>
      </c>
      <c r="D7" s="7">
        <f>C7*Results!$B$2</f>
        <v/>
      </c>
    </row>
    <row r="8">
      <c r="A8" s="2" t="inlineStr">
        <is>
          <t>Jul</t>
        </is>
      </c>
      <c r="B8" s="2" t="n">
        <v>7.9</v>
      </c>
      <c r="C8" s="4" t="n">
        <v>0.0497</v>
      </c>
      <c r="D8" s="6">
        <f>C8*Results!$B$2</f>
        <v/>
      </c>
    </row>
    <row r="9">
      <c r="A9" s="3" t="inlineStr">
        <is>
          <t>Aug</t>
        </is>
      </c>
      <c r="B9" s="3" t="n">
        <v>8.4</v>
      </c>
      <c r="C9" s="5" t="n">
        <v>0.0562</v>
      </c>
      <c r="D9" s="7">
        <f>C9*Results!$B$2</f>
        <v/>
      </c>
    </row>
    <row r="10">
      <c r="A10" s="2" t="inlineStr">
        <is>
          <t>Sep</t>
        </is>
      </c>
      <c r="B10" s="2" t="n">
        <v>9.699999999999999</v>
      </c>
      <c r="C10" s="4" t="n">
        <v>0.075</v>
      </c>
      <c r="D10" s="6">
        <f>C10*Results!$B$2</f>
        <v/>
      </c>
    </row>
    <row r="11">
      <c r="A11" s="3" t="inlineStr">
        <is>
          <t>Oct</t>
        </is>
      </c>
      <c r="B11" s="3" t="n">
        <v>11</v>
      </c>
      <c r="C11" s="5" t="n">
        <v>0.0964</v>
      </c>
      <c r="D11" s="7">
        <f>C11*Results!$B$2</f>
        <v/>
      </c>
    </row>
    <row r="12">
      <c r="A12" s="2" t="inlineStr">
        <is>
          <t>Nov</t>
        </is>
      </c>
      <c r="B12" s="2" t="n">
        <v>11.6</v>
      </c>
      <c r="C12" s="4" t="n">
        <v>0.1072</v>
      </c>
      <c r="D12" s="6">
        <f>C12*Results!$B$2</f>
        <v/>
      </c>
    </row>
    <row r="13">
      <c r="A13" s="3" t="inlineStr">
        <is>
          <t>Dec</t>
        </is>
      </c>
      <c r="B13" s="3" t="n">
        <v>12.1</v>
      </c>
      <c r="C13" s="5" t="n">
        <v>0.1167</v>
      </c>
      <c r="D13" s="7">
        <f>C13*Results!$B$2</f>
        <v/>
      </c>
    </row>
    <row r="14">
      <c r="A14" s="2" t="inlineStr">
        <is>
          <t>Total</t>
        </is>
      </c>
      <c r="B14" s="2">
        <f>AVERAGE(B2:B13)</f>
        <v/>
      </c>
      <c r="C14" s="4">
        <f>SUM(C2:C13)</f>
        <v/>
      </c>
      <c r="D14" s="6">
        <f>SUM(D2:D13)</f>
        <v/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2025-09-01T10:00:00Z</dcterms:created>
  <dcterms:modified xmlns:dcterms="http://purl.org/dc/terms/" xmlns:xsi="http://www.w3.org/2001/XMLSchema-instance" xsi:type="dcterms:W3CDTF">2026-10-04T19:30:22Z</dcterms:modified>
  <cp:lastModifiedBy>Sofie Lindqvist</cp:lastModifiedBy>
</cp:coreProperties>
</file>