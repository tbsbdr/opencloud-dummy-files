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deck" sheetId="1" state="visible" r:id="rId1"/>
    <sheet xmlns:r="http://schemas.openxmlformats.org/officeDocument/2006/relationships" name="Scenario results" sheetId="2" state="visible" r:id="rId2"/>
  </sheets>
  <definedNames>
    <definedName name="_xlnm._FilterDatabase" localSheetId="0" hidden="1">'Price deck'!$A$1:$F$8</definedName>
    <definedName name="_xlnm._FilterDatabase" localSheetId="1" hidden="1">'Scenario results'!$A$1:$E$6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164" fontId="1" fillId="0" borderId="1" pivotButton="0" quotePrefix="0" xfId="0"/>
    <xf numFmtId="0" fontId="1" fillId="3" borderId="1" pivotButton="0" quotePrefix="0" xfId="0"/>
    <xf numFmtId="164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16" customWidth="1" min="3" max="3"/>
    <col width="28" customWidth="1" min="4" max="4"/>
    <col width="16" customWidth="1" min="5" max="5"/>
    <col width="13" customWidth="1" min="6" max="6"/>
  </cols>
  <sheetData>
    <row r="1">
      <c r="A1" s="1" t="inlineStr">
        <is>
          <t>Year</t>
        </is>
      </c>
      <c r="B1" s="1" t="inlineStr">
        <is>
          <t>DE baseload base (EUR/MWh)</t>
        </is>
      </c>
      <c r="C1" s="1" t="inlineStr">
        <is>
          <t>DE low (–20 %)</t>
        </is>
      </c>
      <c r="D1" s="1" t="inlineStr">
        <is>
          <t>GB baseload base (GBP/MWh)</t>
        </is>
      </c>
      <c r="E1" s="1" t="inlineStr">
        <is>
          <t>GB low (–20 %)</t>
        </is>
      </c>
      <c r="F1" s="1" t="inlineStr">
        <is>
          <t>CO₂ (EUR/t)</t>
        </is>
      </c>
    </row>
    <row r="2">
      <c r="A2" s="2" t="n">
        <v>2026</v>
      </c>
      <c r="B2" s="3" t="n">
        <v>86</v>
      </c>
      <c r="C2" s="3">
        <f>B2*0.8</f>
        <v/>
      </c>
      <c r="D2" s="3" t="n">
        <v>78</v>
      </c>
      <c r="E2" s="3">
        <f>D2*0.8</f>
        <v/>
      </c>
      <c r="F2" s="2" t="n">
        <v>74</v>
      </c>
    </row>
    <row r="3">
      <c r="A3" s="4" t="n">
        <v>2027</v>
      </c>
      <c r="B3" s="5" t="n">
        <v>82</v>
      </c>
      <c r="C3" s="5">
        <f>B3*0.8</f>
        <v/>
      </c>
      <c r="D3" s="5" t="n">
        <v>75</v>
      </c>
      <c r="E3" s="5">
        <f>D3*0.8</f>
        <v/>
      </c>
      <c r="F3" s="4" t="n">
        <v>79</v>
      </c>
    </row>
    <row r="4">
      <c r="A4" s="2" t="n">
        <v>2028</v>
      </c>
      <c r="B4" s="3" t="n">
        <v>79</v>
      </c>
      <c r="C4" s="3">
        <f>B4*0.8</f>
        <v/>
      </c>
      <c r="D4" s="3" t="n">
        <v>72</v>
      </c>
      <c r="E4" s="3">
        <f>D4*0.8</f>
        <v/>
      </c>
      <c r="F4" s="2" t="n">
        <v>85</v>
      </c>
    </row>
    <row r="5">
      <c r="A5" s="4" t="n">
        <v>2029</v>
      </c>
      <c r="B5" s="5" t="n">
        <v>77</v>
      </c>
      <c r="C5" s="5">
        <f>B5*0.8</f>
        <v/>
      </c>
      <c r="D5" s="5" t="n">
        <v>70</v>
      </c>
      <c r="E5" s="5">
        <f>D5*0.8</f>
        <v/>
      </c>
      <c r="F5" s="4" t="n">
        <v>92</v>
      </c>
    </row>
    <row r="6">
      <c r="A6" s="2" t="n">
        <v>2030</v>
      </c>
      <c r="B6" s="3" t="n">
        <v>75</v>
      </c>
      <c r="C6" s="3">
        <f>B6*0.8</f>
        <v/>
      </c>
      <c r="D6" s="3" t="n">
        <v>69</v>
      </c>
      <c r="E6" s="3">
        <f>D6*0.8</f>
        <v/>
      </c>
      <c r="F6" s="2" t="n">
        <v>98</v>
      </c>
    </row>
    <row r="7">
      <c r="A7" s="4" t="n">
        <v>2031</v>
      </c>
      <c r="B7" s="5" t="n">
        <v>74</v>
      </c>
      <c r="C7" s="5">
        <f>B7*0.8</f>
        <v/>
      </c>
      <c r="D7" s="5" t="n">
        <v>68</v>
      </c>
      <c r="E7" s="5">
        <f>D7*0.8</f>
        <v/>
      </c>
      <c r="F7" s="4" t="n">
        <v>103</v>
      </c>
    </row>
    <row r="8">
      <c r="A8" s="2" t="n">
        <v>2032</v>
      </c>
      <c r="B8" s="3" t="n">
        <v>73</v>
      </c>
      <c r="C8" s="3">
        <f>B8*0.8</f>
        <v/>
      </c>
      <c r="D8" s="3" t="n">
        <v>67</v>
      </c>
      <c r="E8" s="3">
        <f>D8*0.8</f>
        <v/>
      </c>
      <c r="F8" s="2" t="n">
        <v>108</v>
      </c>
    </row>
  </sheetData>
  <autoFilter ref="A1:F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1" customWidth="1" min="3" max="3"/>
    <col width="20" customWidth="1" min="4" max="4"/>
    <col width="48" customWidth="1" min="5" max="5"/>
  </cols>
  <sheetData>
    <row r="1">
      <c r="A1" s="1" t="inlineStr">
        <is>
          <t>Scenario</t>
        </is>
      </c>
      <c r="B1" s="1" t="inlineStr">
        <is>
          <t>Revenue 2030 (EUR m)</t>
        </is>
      </c>
      <c r="C1" s="1" t="inlineStr">
        <is>
          <t>EBITDA 2030 (EUR m)</t>
        </is>
      </c>
      <c r="D1" s="1" t="inlineStr">
        <is>
          <t>Capacity 2030 (GW)</t>
        </is>
      </c>
      <c r="E1" s="1" t="inlineStr">
        <is>
          <t>Comment</t>
        </is>
      </c>
    </row>
    <row r="2">
      <c r="A2" s="2" t="inlineStr">
        <is>
          <t>Base</t>
        </is>
      </c>
      <c r="B2" s="2" t="n">
        <v>600</v>
      </c>
      <c r="C2" s="2" t="n">
        <v>290</v>
      </c>
      <c r="D2" s="2" t="n">
        <v>2.5</v>
      </c>
      <c r="E2" s="2" t="inlineStr">
        <is>
          <t>Strategy case</t>
        </is>
      </c>
    </row>
    <row r="3">
      <c r="A3" s="4" t="inlineStr">
        <is>
          <t>Low prices</t>
        </is>
      </c>
      <c r="B3" s="4" t="n">
        <v>548</v>
      </c>
      <c r="C3" s="4" t="n">
        <v>251</v>
      </c>
      <c r="D3" s="4" t="n">
        <v>2.5</v>
      </c>
      <c r="E3" s="4" t="inlineStr">
        <is>
          <t>Merchant –20 % from 2027</t>
        </is>
      </c>
    </row>
    <row r="4">
      <c r="A4" s="2" t="inlineStr">
        <is>
          <t>Delay</t>
        </is>
      </c>
      <c r="B4" s="2" t="n">
        <v>542</v>
      </c>
      <c r="C4" s="2" t="n">
        <v>259</v>
      </c>
      <c r="D4" s="2" t="n">
        <v>2.2</v>
      </c>
      <c r="E4" s="2" t="inlineStr">
        <is>
          <t>Harrow Bay COD +6 months, Millbrook +12 months</t>
        </is>
      </c>
    </row>
    <row r="5">
      <c r="A5" s="4" t="inlineStr">
        <is>
          <t>High</t>
        </is>
      </c>
      <c r="B5" s="4" t="n">
        <v>646</v>
      </c>
      <c r="C5" s="4" t="n">
        <v>322</v>
      </c>
      <c r="D5" s="4" t="n">
        <v>2.7</v>
      </c>
      <c r="E5" s="4" t="inlineStr">
        <is>
          <t>Follow-on site A accelerated</t>
        </is>
      </c>
    </row>
    <row r="6">
      <c r="A6" s="2" t="inlineStr">
        <is>
          <t>Combined downside</t>
        </is>
      </c>
      <c r="B6" s="2" t="n">
        <v>497</v>
      </c>
      <c r="C6" s="2" t="n">
        <v>224</v>
      </c>
      <c r="D6" s="2" t="n">
        <v>2.2</v>
      </c>
      <c r="E6" s="2" t="inlineStr">
        <is>
          <t>Low prices and delay</t>
        </is>
      </c>
    </row>
  </sheetData>
  <autoFilter ref="A1:E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Jonas Richter</dc:creator>
  <dcterms:created xmlns:dcterms="http://purl.org/dc/terms/" xmlns:xsi="http://www.w3.org/2001/XMLSchema-instance" xsi:type="dcterms:W3CDTF">2026-01-26T10:00:00Z</dcterms:created>
  <dcterms:modified xmlns:dcterms="http://purl.org/dc/terms/" xmlns:xsi="http://www.w3.org/2001/XMLSchema-instance" xsi:type="dcterms:W3CDTF">2026-10-04T19:30:19Z</dcterms:modified>
  <cp:lastModifiedBy>Jonas Richter</cp:lastModifiedBy>
</cp:coreProperties>
</file>