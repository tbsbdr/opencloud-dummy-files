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Contingency" sheetId="3" state="visible" r:id="rId3"/>
  </sheets>
  <definedNames>
    <definedName name="_xlnm._FilterDatabase" localSheetId="0" hidden="1">'Summary'!$A$1:$H$13</definedName>
    <definedName name="_xlnm._FilterDatabase" localSheetId="1" hidden="1">'Monthly trend'!$A$1:$D$10</definedName>
    <definedName name="_xlnm._FilterDatabase" localSheetId="2" hidden="1">'Contingency'!$A$1:$B$16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#,##0.0;[Red]-#,##0.0"/>
    <numFmt numFmtId="166" formatCode="0.0%"/>
    <numFmt numFmtId="167" formatCode="#,##0.00;[Red]-#,##0.0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  <xf numFmtId="166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  <xf numFmtId="165" fontId="1" fillId="3" borderId="1" pivotButton="0" quotePrefix="0" xfId="0"/>
    <xf numFmtId="166" fontId="1" fillId="3" borderId="1" pivotButton="0" quotePrefix="0" xfId="0"/>
    <xf numFmtId="167" fontId="1" fillId="0" borderId="1" pivotButton="0" quotePrefix="0" xfId="0"/>
    <xf numFmtId="167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  <col width="16" customWidth="1" min="4" max="4"/>
    <col width="18" customWidth="1" min="5" max="5"/>
    <col width="13" customWidth="1" min="6" max="6"/>
    <col width="18" customWidth="1" min="7" max="7"/>
    <col width="12" customWidth="1" min="8" max="8"/>
  </cols>
  <sheetData>
    <row r="1">
      <c r="A1" s="1" t="inlineStr">
        <is>
          <t>Package</t>
        </is>
      </c>
      <c r="B1" s="1" t="inlineStr">
        <is>
          <t>Contract</t>
        </is>
      </c>
      <c r="C1" s="1" t="inlineStr">
        <is>
          <t>Budget (EUR m)</t>
        </is>
      </c>
      <c r="D1" s="1" t="inlineStr">
        <is>
          <t>Committed (EUR m)</t>
        </is>
      </c>
      <c r="E1" s="1" t="inlineStr">
        <is>
          <t>Actual to date (EUR m)</t>
        </is>
      </c>
      <c r="F1" s="1" t="inlineStr">
        <is>
          <t>EAC (EUR m)</t>
        </is>
      </c>
      <c r="G1" s="1" t="inlineStr">
        <is>
          <t>Variance EAC vs. budget</t>
        </is>
      </c>
      <c r="H1" s="1" t="inlineStr">
        <is>
          <t>% spent of EAC</t>
        </is>
      </c>
    </row>
    <row r="2">
      <c r="A2" s="2" t="inlineStr">
        <is>
          <t>Wind turbines (supply &amp; installation)</t>
        </is>
      </c>
      <c r="B2" s="2" t="inlineStr">
        <is>
          <t>WE-CON-2025-022</t>
        </is>
      </c>
      <c r="C2" s="3" t="n">
        <v>575</v>
      </c>
      <c r="D2" s="3" t="n">
        <v>575</v>
      </c>
      <c r="E2" s="3" t="n">
        <v>172.5</v>
      </c>
      <c r="F2" s="3" t="n">
        <v>575</v>
      </c>
      <c r="G2" s="4">
        <f>F2-C2</f>
        <v/>
      </c>
      <c r="H2" s="5">
        <f>IF(F2=0,0,E2/F2)</f>
        <v/>
      </c>
    </row>
    <row r="3">
      <c r="A3" s="6" t="inlineStr">
        <is>
          <t>Monopiles &amp; transition pieces</t>
        </is>
      </c>
      <c r="B3" s="6" t="inlineStr">
        <is>
          <t>WE-CON-2025-027</t>
        </is>
      </c>
      <c r="C3" s="7" t="n">
        <v>268</v>
      </c>
      <c r="D3" s="7" t="n">
        <v>271.6</v>
      </c>
      <c r="E3" s="7" t="n">
        <v>181.2</v>
      </c>
      <c r="F3" s="7" t="n">
        <v>271.6</v>
      </c>
      <c r="G3" s="8">
        <f>F3-C3</f>
        <v/>
      </c>
      <c r="H3" s="9">
        <f>IF(F3=0,0,E3/F3)</f>
        <v/>
      </c>
    </row>
    <row r="4">
      <c r="A4" s="2" t="inlineStr">
        <is>
          <t>Export &amp; array cables (supply &amp; installation)</t>
        </is>
      </c>
      <c r="B4" s="2" t="inlineStr">
        <is>
          <t>WE-CON-2025-031</t>
        </is>
      </c>
      <c r="C4" s="3" t="n">
        <v>232</v>
      </c>
      <c r="D4" s="3" t="n">
        <v>232</v>
      </c>
      <c r="E4" s="3" t="n">
        <v>104.4</v>
      </c>
      <c r="F4" s="3" t="n">
        <v>238.8</v>
      </c>
      <c r="G4" s="4">
        <f>F4-C4</f>
        <v/>
      </c>
      <c r="H4" s="5">
        <f>IF(F4=0,0,E4/F4)</f>
        <v/>
      </c>
    </row>
    <row r="5">
      <c r="A5" s="6" t="inlineStr">
        <is>
          <t>Offshore substation HB-OSS (EPCI)</t>
        </is>
      </c>
      <c r="B5" s="6" t="inlineStr">
        <is>
          <t>WE-CON-2025-035</t>
        </is>
      </c>
      <c r="C5" s="7" t="n">
        <v>196</v>
      </c>
      <c r="D5" s="7" t="n">
        <v>199.2</v>
      </c>
      <c r="E5" s="7" t="n">
        <v>158.8</v>
      </c>
      <c r="F5" s="7" t="n">
        <v>199.2</v>
      </c>
      <c r="G5" s="8">
        <f>F5-C5</f>
        <v/>
      </c>
      <c r="H5" s="9">
        <f>IF(F5=0,0,E5/F5)</f>
        <v/>
      </c>
    </row>
    <row r="6">
      <c r="A6" s="2" t="inlineStr">
        <is>
          <t>Foundation installation vessel MV Sea Atlas</t>
        </is>
      </c>
      <c r="B6" s="2" t="inlineStr">
        <is>
          <t>WE-CON-2025-040</t>
        </is>
      </c>
      <c r="C6" s="3" t="n">
        <v>88</v>
      </c>
      <c r="D6" s="3" t="n">
        <v>93.5</v>
      </c>
      <c r="E6" s="3" t="n">
        <v>41.6</v>
      </c>
      <c r="F6" s="3" t="n">
        <v>93.5</v>
      </c>
      <c r="G6" s="4">
        <f>F6-C6</f>
        <v/>
      </c>
      <c r="H6" s="5">
        <f>IF(F6=0,0,E6/F6)</f>
        <v/>
      </c>
    </row>
    <row r="7">
      <c r="A7" s="6" t="inlineStr">
        <is>
          <t>Onshore substation &amp; grid connection</t>
        </is>
      </c>
      <c r="B7" s="6" t="inlineStr">
        <is>
          <t>WE-CON-2025-044</t>
        </is>
      </c>
      <c r="C7" s="7" t="n">
        <v>61</v>
      </c>
      <c r="D7" s="7" t="n">
        <v>58.7</v>
      </c>
      <c r="E7" s="7" t="n">
        <v>33.9</v>
      </c>
      <c r="F7" s="7" t="n">
        <v>61</v>
      </c>
      <c r="G7" s="8">
        <f>F7-C7</f>
        <v/>
      </c>
      <c r="H7" s="9">
        <f>IF(F7=0,0,E7/F7)</f>
        <v/>
      </c>
    </row>
    <row r="8">
      <c r="A8" s="2" t="inlineStr">
        <is>
          <t>Port, logistics &amp; marine services</t>
        </is>
      </c>
      <c r="B8" s="2" t="inlineStr">
        <is>
          <t>various</t>
        </is>
      </c>
      <c r="C8" s="3" t="n">
        <v>34</v>
      </c>
      <c r="D8" s="3" t="n">
        <v>27.4</v>
      </c>
      <c r="E8" s="3" t="n">
        <v>15.2</v>
      </c>
      <c r="F8" s="3" t="n">
        <v>35.8</v>
      </c>
      <c r="G8" s="4">
        <f>F8-C8</f>
        <v/>
      </c>
      <c r="H8" s="5">
        <f>IF(F8=0,0,E8/F8)</f>
        <v/>
      </c>
    </row>
    <row r="9">
      <c r="A9" s="6" t="inlineStr">
        <is>
          <t>Development &amp; consents</t>
        </is>
      </c>
      <c r="B9" s="6" t="inlineStr">
        <is>
          <t>–</t>
        </is>
      </c>
      <c r="C9" s="7" t="n">
        <v>38</v>
      </c>
      <c r="D9" s="7" t="n">
        <v>38</v>
      </c>
      <c r="E9" s="7" t="n">
        <v>38</v>
      </c>
      <c r="F9" s="7" t="n">
        <v>38</v>
      </c>
      <c r="G9" s="8">
        <f>F9-C9</f>
        <v/>
      </c>
      <c r="H9" s="9">
        <f>IF(F9=0,0,E9/F9)</f>
        <v/>
      </c>
    </row>
    <row r="10">
      <c r="A10" s="2" t="inlineStr">
        <is>
          <t>Owner's costs &amp; project management</t>
        </is>
      </c>
      <c r="B10" s="2" t="inlineStr">
        <is>
          <t>–</t>
        </is>
      </c>
      <c r="C10" s="3" t="n">
        <v>52</v>
      </c>
      <c r="D10" s="3" t="n">
        <v>31</v>
      </c>
      <c r="E10" s="3" t="n">
        <v>29.7</v>
      </c>
      <c r="F10" s="3" t="n">
        <v>54.3</v>
      </c>
      <c r="G10" s="4">
        <f>F10-C10</f>
        <v/>
      </c>
      <c r="H10" s="5">
        <f>IF(F10=0,0,E10/F10)</f>
        <v/>
      </c>
    </row>
    <row r="11">
      <c r="A11" s="6" t="inlineStr">
        <is>
          <t>Insurance (CAR / marine)</t>
        </is>
      </c>
      <c r="B11" s="6" t="inlineStr">
        <is>
          <t>–</t>
        </is>
      </c>
      <c r="C11" s="7" t="n">
        <v>21</v>
      </c>
      <c r="D11" s="7" t="n">
        <v>21.4</v>
      </c>
      <c r="E11" s="7" t="n">
        <v>14.6</v>
      </c>
      <c r="F11" s="7" t="n">
        <v>21.4</v>
      </c>
      <c r="G11" s="8">
        <f>F11-C11</f>
        <v/>
      </c>
      <c r="H11" s="9">
        <f>IF(F11=0,0,E11/F11)</f>
        <v/>
      </c>
    </row>
    <row r="12">
      <c r="A12" s="2" t="inlineStr">
        <is>
          <t>Contingency</t>
        </is>
      </c>
      <c r="B12" s="2" t="inlineStr">
        <is>
          <t>–</t>
        </is>
      </c>
      <c r="C12" s="3" t="n">
        <v>55</v>
      </c>
      <c r="D12" s="3" t="n">
        <v>0</v>
      </c>
      <c r="E12" s="3" t="n">
        <v>0</v>
      </c>
      <c r="F12" s="3" t="n">
        <v>31.4</v>
      </c>
      <c r="G12" s="4">
        <f>F12-C12</f>
        <v/>
      </c>
      <c r="H12" s="5">
        <f>IF(F12=0,0,E12/F12)</f>
        <v/>
      </c>
    </row>
    <row r="13">
      <c r="A13" s="6" t="inlineStr">
        <is>
          <t>Total</t>
        </is>
      </c>
      <c r="B13" s="6" t="inlineStr"/>
      <c r="C13" s="7">
        <f>SUM(C2:C12)</f>
        <v/>
      </c>
      <c r="D13" s="7">
        <f>SUM(D2:D12)</f>
        <v/>
      </c>
      <c r="E13" s="7">
        <f>SUM(E2:E12)</f>
        <v/>
      </c>
      <c r="F13" s="7">
        <f>SUM(F2:F12)</f>
        <v/>
      </c>
      <c r="G13" s="8">
        <f>F13-C13</f>
        <v/>
      </c>
      <c r="H13" s="9">
        <f>E13/F13</f>
        <v/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27" customWidth="1" min="3" max="3"/>
    <col width="18" customWidth="1" min="4" max="4"/>
  </cols>
  <sheetData>
    <row r="1">
      <c r="A1" s="1" t="inlineStr">
        <is>
          <t>Month</t>
        </is>
      </c>
      <c r="B1" s="1" t="inlineStr">
        <is>
          <t>Actual cumulative (EUR m)</t>
        </is>
      </c>
      <c r="C1" s="1" t="inlineStr">
        <is>
          <t>Budget cumulative (EUR m)</t>
        </is>
      </c>
      <c r="D1" s="1" t="inlineStr">
        <is>
          <t>Variance (EUR m)</t>
        </is>
      </c>
    </row>
    <row r="2">
      <c r="A2" s="2" t="inlineStr">
        <is>
          <t>2026-01</t>
        </is>
      </c>
      <c r="B2" s="3" t="n">
        <v>402.6</v>
      </c>
      <c r="C2" s="3" t="n">
        <v>405</v>
      </c>
      <c r="D2" s="4">
        <f>B2-C2</f>
        <v/>
      </c>
    </row>
    <row r="3">
      <c r="A3" s="6" t="inlineStr">
        <is>
          <t>2026-02</t>
        </is>
      </c>
      <c r="B3" s="7" t="n">
        <v>438.1</v>
      </c>
      <c r="C3" s="7" t="n">
        <v>441</v>
      </c>
      <c r="D3" s="8">
        <f>B3-C3</f>
        <v/>
      </c>
    </row>
    <row r="4">
      <c r="A4" s="2" t="inlineStr">
        <is>
          <t>2026-03</t>
        </is>
      </c>
      <c r="B4" s="3" t="n">
        <v>497.3</v>
      </c>
      <c r="C4" s="3" t="n">
        <v>503</v>
      </c>
      <c r="D4" s="4">
        <f>B4-C4</f>
        <v/>
      </c>
    </row>
    <row r="5">
      <c r="A5" s="6" t="inlineStr">
        <is>
          <t>2026-04</t>
        </is>
      </c>
      <c r="B5" s="7" t="n">
        <v>541.8</v>
      </c>
      <c r="C5" s="7" t="n">
        <v>552</v>
      </c>
      <c r="D5" s="8">
        <f>B5-C5</f>
        <v/>
      </c>
    </row>
    <row r="6">
      <c r="A6" s="2" t="inlineStr">
        <is>
          <t>2026-05</t>
        </is>
      </c>
      <c r="B6" s="3" t="n">
        <v>579.4</v>
      </c>
      <c r="C6" s="3" t="n">
        <v>596</v>
      </c>
      <c r="D6" s="4">
        <f>B6-C6</f>
        <v/>
      </c>
    </row>
    <row r="7">
      <c r="A7" s="6" t="inlineStr">
        <is>
          <t>2026-06</t>
        </is>
      </c>
      <c r="B7" s="7" t="n">
        <v>612</v>
      </c>
      <c r="C7" s="7" t="n">
        <v>634</v>
      </c>
      <c r="D7" s="8">
        <f>B7-C7</f>
        <v/>
      </c>
    </row>
    <row r="8">
      <c r="A8" s="2" t="inlineStr">
        <is>
          <t>2026-07</t>
        </is>
      </c>
      <c r="B8" s="3" t="n">
        <v>664.5</v>
      </c>
      <c r="C8" s="3" t="n">
        <v>676</v>
      </c>
      <c r="D8" s="4">
        <f>B8-C8</f>
        <v/>
      </c>
    </row>
    <row r="9">
      <c r="A9" s="6" t="inlineStr">
        <is>
          <t>2026-08</t>
        </is>
      </c>
      <c r="B9" s="7" t="n">
        <v>731.2</v>
      </c>
      <c r="C9" s="7" t="n">
        <v>744</v>
      </c>
      <c r="D9" s="8">
        <f>B9-C9</f>
        <v/>
      </c>
    </row>
    <row r="10">
      <c r="A10" s="2" t="inlineStr">
        <is>
          <t>2026-09</t>
        </is>
      </c>
      <c r="B10" s="3" t="n">
        <v>789.9</v>
      </c>
      <c r="C10" s="3" t="n">
        <v>812</v>
      </c>
      <c r="D10" s="4">
        <f>B10-C10</f>
        <v/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EUR m</t>
        </is>
      </c>
    </row>
    <row r="2">
      <c r="A2" s="2" t="inlineStr">
        <is>
          <t>Contingency at FID</t>
        </is>
      </c>
      <c r="B2" s="10" t="n">
        <v>55</v>
      </c>
    </row>
    <row r="3">
      <c r="A3" s="6" t="inlineStr">
        <is>
          <t>CO-001 Additional anode cages on TPs for HB-B and HB-C strings (cor</t>
        </is>
      </c>
      <c r="B3" s="11" t="n">
        <v>-1.2</v>
      </c>
    </row>
    <row r="4">
      <c r="A4" s="2" t="inlineStr">
        <is>
          <t>CO-003 Boat landing redesign for HTS-12 service vessel fendering</t>
        </is>
      </c>
      <c r="B4" s="10" t="n">
        <v>-1.65</v>
      </c>
    </row>
    <row r="5">
      <c r="A5" s="6" t="inlineStr">
        <is>
          <t>CO-004 Additional 66 kV switchgear bay for future expansion</t>
        </is>
      </c>
      <c r="B5" s="11" t="n">
        <v>-2.4</v>
      </c>
    </row>
    <row r="6">
      <c r="A6" s="2" t="inlineStr">
        <is>
          <t>CO-005 Bubble curtain support vessel – extended scope for second ho</t>
        </is>
      </c>
      <c r="B6" s="10" t="n">
        <v>-0.92</v>
      </c>
    </row>
    <row r="7">
      <c r="A7" s="6" t="inlineStr">
        <is>
          <t>CO-006 Coating repair procedure and quay inspection (batch 3)</t>
        </is>
      </c>
      <c r="B7" s="11" t="n">
        <v>-0.18</v>
      </c>
    </row>
    <row r="8">
      <c r="A8" s="2" t="inlineStr">
        <is>
          <t>CO-007 Increased pile wall thickness at HB-C10 to HB-C13 after geot</t>
        </is>
      </c>
      <c r="B8" s="10" t="n">
        <v>-0.57</v>
      </c>
    </row>
    <row r="9">
      <c r="A9" s="6" t="inlineStr">
        <is>
          <t>CO-008 Helideck lighting upgrade to CAP 437 edition 9</t>
        </is>
      </c>
      <c r="B9" s="11" t="n">
        <v>-0.8</v>
      </c>
    </row>
    <row r="10">
      <c r="A10" s="2" t="inlineStr">
        <is>
          <t>CO-009 Weather standby above contractual allowance (April–August)</t>
        </is>
      </c>
      <c r="B10" s="10" t="n">
        <v>-2.33</v>
      </c>
    </row>
    <row r="11">
      <c r="A11" s="6" t="inlineStr">
        <is>
          <t xml:space="preserve">CO-010 Resequencing of cable lay campaign following export cable 2 </t>
        </is>
      </c>
      <c r="B11" s="11" t="n">
        <v>-6.8</v>
      </c>
    </row>
    <row r="12">
      <c r="A12" s="2" t="inlineStr">
        <is>
          <t>CO-011 Exercise of charter option 2 (+45 days)</t>
        </is>
      </c>
      <c r="B12" s="10" t="n">
        <v>-2.25</v>
      </c>
    </row>
    <row r="13">
      <c r="A13" s="6" t="inlineStr">
        <is>
          <t>Port &amp; logistics re-forecast</t>
        </is>
      </c>
      <c r="B13" s="11" t="n">
        <v>-1.8</v>
      </c>
    </row>
    <row r="14">
      <c r="A14" s="2" t="inlineStr">
        <is>
          <t>Owner's costs re-forecast (24/7 operations)</t>
        </is>
      </c>
      <c r="B14" s="10" t="n">
        <v>-2.3</v>
      </c>
    </row>
    <row r="15">
      <c r="A15" s="6" t="inlineStr">
        <is>
          <t>Insurance premium adjustment</t>
        </is>
      </c>
      <c r="B15" s="11" t="n">
        <v>-0.4</v>
      </c>
    </row>
    <row r="16">
      <c r="A16" s="2" t="inlineStr">
        <is>
          <t>Contingency remaining</t>
        </is>
      </c>
      <c r="B16" s="10">
        <f>SUM(B2:B15)</f>
        <v/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2026-02-16T10:00:00Z</dcterms:created>
  <dcterms:modified xmlns:dcterms="http://purl.org/dc/terms/" xmlns:xsi="http://www.w3.org/2001/XMLSchema-instance" xsi:type="dcterms:W3CDTF">2026-10-04T19:30:28Z</dcterms:modified>
  <cp:lastModifiedBy>Marcus Bell</cp:lastModifiedBy>
</cp:coreProperties>
</file>