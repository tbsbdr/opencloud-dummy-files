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'Daily log'!$A$1:$K$32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165" fontId="1" fillId="0" borderId="1" pivotButton="0" quotePrefix="0" xfId="0"/>
    <xf numFmtId="0" fontId="1" fillId="0" borderId="1" pivotButton="0" quotePrefix="0" xfId="0"/>
    <xf numFmtId="166" fontId="1" fillId="0" borderId="1" pivotButton="0" quotePrefix="0" xfId="0"/>
    <xf numFmtId="165" fontId="1" fillId="3" borderId="1" pivotButton="0" quotePrefix="0" xfId="0"/>
    <xf numFmtId="0" fontId="1" fillId="3" borderId="1" pivotButton="0" quotePrefix="0" xfId="0"/>
    <xf numFmtId="166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10" customWidth="1" min="4" max="4"/>
    <col width="10" customWidth="1" min="5" max="5"/>
    <col width="10" customWidth="1" min="6" max="6"/>
    <col width="9" customWidth="1" min="7" max="7"/>
    <col width="9" customWidth="1" min="8" max="8"/>
    <col width="6" customWidth="1" min="9" max="9"/>
    <col width="9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Main activity</t>
        </is>
      </c>
      <c r="D1" s="1" t="inlineStr">
        <is>
          <t>Operations (h)</t>
        </is>
      </c>
      <c r="E1" s="1" t="inlineStr">
        <is>
          <t>Waiting on weather (h)</t>
        </is>
      </c>
      <c r="F1" s="1" t="inlineStr">
        <is>
          <t>Transit / port (h)</t>
        </is>
      </c>
      <c r="G1" s="1" t="inlineStr">
        <is>
          <t>Hs max (m)</t>
        </is>
      </c>
      <c r="H1" s="1" t="inlineStr">
        <is>
          <t>Wind max (m/s)</t>
        </is>
      </c>
      <c r="I1" s="1" t="inlineStr">
        <is>
          <t>POB</t>
        </is>
      </c>
      <c r="J1" s="1" t="inlineStr">
        <is>
          <t>Fuel (m³)</t>
        </is>
      </c>
      <c r="K1" s="1" t="inlineStr">
        <is>
          <t>Remarks</t>
        </is>
      </c>
    </row>
    <row r="2">
      <c r="A2" s="2" t="n">
        <v>46235</v>
      </c>
      <c r="B2" s="3" t="inlineStr">
        <is>
          <t>Harrow Bay site</t>
        </is>
      </c>
      <c r="C2" s="3" t="inlineStr">
        <is>
          <t>Bolt tensioning / TP works</t>
        </is>
      </c>
      <c r="D2" s="3" t="n">
        <v>24</v>
      </c>
      <c r="E2" s="3" t="n">
        <v>0</v>
      </c>
      <c r="F2" s="3" t="n">
        <v>0</v>
      </c>
      <c r="G2" s="3" t="n">
        <v>0.9</v>
      </c>
      <c r="H2" s="3" t="n">
        <v>5</v>
      </c>
      <c r="I2" s="3" t="n">
        <v>101</v>
      </c>
      <c r="J2" s="4" t="n">
        <v>23.1</v>
      </c>
      <c r="K2" s="3" t="inlineStr"/>
    </row>
    <row r="3">
      <c r="A3" s="5" t="n">
        <v>46236</v>
      </c>
      <c r="B3" s="6" t="inlineStr">
        <is>
          <t>Harrow Bay site</t>
        </is>
      </c>
      <c r="C3" s="6" t="inlineStr">
        <is>
          <t>Bolt tensioning / TP works</t>
        </is>
      </c>
      <c r="D3" s="6" t="n">
        <v>23</v>
      </c>
      <c r="E3" s="6" t="n">
        <v>1</v>
      </c>
      <c r="F3" s="6" t="n">
        <v>0</v>
      </c>
      <c r="G3" s="6" t="n">
        <v>1.1</v>
      </c>
      <c r="H3" s="6" t="n">
        <v>7.8</v>
      </c>
      <c r="I3" s="6" t="n">
        <v>93</v>
      </c>
      <c r="J3" s="7" t="n">
        <v>24.7</v>
      </c>
      <c r="K3" s="6" t="inlineStr"/>
    </row>
    <row r="4">
      <c r="A4" s="2" t="n">
        <v>46237</v>
      </c>
      <c r="B4" s="3" t="inlineStr">
        <is>
          <t>Harrow Bay site</t>
        </is>
      </c>
      <c r="C4" s="3" t="inlineStr">
        <is>
          <t>Bolt tensioning / TP works</t>
        </is>
      </c>
      <c r="D4" s="3" t="n">
        <v>21</v>
      </c>
      <c r="E4" s="3" t="n">
        <v>3</v>
      </c>
      <c r="F4" s="3" t="n">
        <v>0</v>
      </c>
      <c r="G4" s="3" t="n">
        <v>1.3</v>
      </c>
      <c r="H4" s="3" t="n">
        <v>7.4</v>
      </c>
      <c r="I4" s="3" t="n">
        <v>98</v>
      </c>
      <c r="J4" s="4" t="n">
        <v>19.6</v>
      </c>
      <c r="K4" s="3" t="inlineStr"/>
    </row>
    <row r="5">
      <c r="A5" s="5" t="n">
        <v>46238</v>
      </c>
      <c r="B5" s="6" t="inlineStr">
        <is>
          <t>Harrow Bay site</t>
        </is>
      </c>
      <c r="C5" s="6" t="inlineStr">
        <is>
          <t>Bolt tensioning / TP works</t>
        </is>
      </c>
      <c r="D5" s="6" t="n">
        <v>20</v>
      </c>
      <c r="E5" s="6" t="n">
        <v>4</v>
      </c>
      <c r="F5" s="6" t="n">
        <v>0</v>
      </c>
      <c r="G5" s="6" t="n">
        <v>1.2</v>
      </c>
      <c r="H5" s="6" t="n">
        <v>8.6</v>
      </c>
      <c r="I5" s="6" t="n">
        <v>103</v>
      </c>
      <c r="J5" s="7" t="n">
        <v>25.5</v>
      </c>
      <c r="K5" s="6" t="inlineStr"/>
    </row>
    <row r="6">
      <c r="A6" s="2" t="n">
        <v>46239</v>
      </c>
      <c r="B6" s="3" t="inlineStr">
        <is>
          <t>Harrow Bay site</t>
        </is>
      </c>
      <c r="C6" s="3" t="inlineStr">
        <is>
          <t>Bolt tensioning / TP works</t>
        </is>
      </c>
      <c r="D6" s="3" t="n">
        <v>24</v>
      </c>
      <c r="E6" s="3" t="n">
        <v>0</v>
      </c>
      <c r="F6" s="3" t="n">
        <v>0</v>
      </c>
      <c r="G6" s="3" t="n">
        <v>1.1</v>
      </c>
      <c r="H6" s="3" t="n">
        <v>7.3</v>
      </c>
      <c r="I6" s="3" t="n">
        <v>102</v>
      </c>
      <c r="J6" s="4" t="n">
        <v>19.8</v>
      </c>
      <c r="K6" s="3" t="inlineStr"/>
    </row>
    <row r="7">
      <c r="A7" s="5" t="n">
        <v>46240</v>
      </c>
      <c r="B7" s="6" t="inlineStr">
        <is>
          <t>HB-A11</t>
        </is>
      </c>
      <c r="C7" s="6" t="inlineStr">
        <is>
          <t>Monopile installation HB-A11</t>
        </is>
      </c>
      <c r="D7" s="6" t="n">
        <v>19</v>
      </c>
      <c r="E7" s="6" t="n">
        <v>5</v>
      </c>
      <c r="F7" s="6" t="n">
        <v>0</v>
      </c>
      <c r="G7" s="6" t="n">
        <v>1.5</v>
      </c>
      <c r="H7" s="6" t="n">
        <v>7.8</v>
      </c>
      <c r="I7" s="6" t="n">
        <v>98</v>
      </c>
      <c r="J7" s="7" t="n">
        <v>26</v>
      </c>
      <c r="K7" s="6" t="inlineStr"/>
    </row>
    <row r="8">
      <c r="A8" s="2" t="n">
        <v>46241</v>
      </c>
      <c r="B8" s="3" t="inlineStr">
        <is>
          <t>Harrow Bay site</t>
        </is>
      </c>
      <c r="C8" s="3" t="inlineStr">
        <is>
          <t>Bolt tensioning / TP works</t>
        </is>
      </c>
      <c r="D8" s="3" t="n">
        <v>24</v>
      </c>
      <c r="E8" s="3" t="n">
        <v>0</v>
      </c>
      <c r="F8" s="3" t="n">
        <v>0</v>
      </c>
      <c r="G8" s="3" t="n">
        <v>0.9</v>
      </c>
      <c r="H8" s="3" t="n">
        <v>6.1</v>
      </c>
      <c r="I8" s="3" t="n">
        <v>90</v>
      </c>
      <c r="J8" s="4" t="n">
        <v>20.2</v>
      </c>
      <c r="K8" s="3" t="inlineStr"/>
    </row>
    <row r="9">
      <c r="A9" s="5" t="n">
        <v>46242</v>
      </c>
      <c r="B9" s="6" t="inlineStr">
        <is>
          <t>Harrow Bay site</t>
        </is>
      </c>
      <c r="C9" s="6" t="inlineStr">
        <is>
          <t>Bolt tensioning / TP works</t>
        </is>
      </c>
      <c r="D9" s="6" t="n">
        <v>19</v>
      </c>
      <c r="E9" s="6" t="n">
        <v>5</v>
      </c>
      <c r="F9" s="6" t="n">
        <v>0</v>
      </c>
      <c r="G9" s="6" t="n">
        <v>1.2</v>
      </c>
      <c r="H9" s="6" t="n">
        <v>10.1</v>
      </c>
      <c r="I9" s="6" t="n">
        <v>100</v>
      </c>
      <c r="J9" s="7" t="n">
        <v>18</v>
      </c>
      <c r="K9" s="6" t="inlineStr"/>
    </row>
    <row r="10">
      <c r="A10" s="2" t="n">
        <v>46243</v>
      </c>
      <c r="B10" s="3" t="inlineStr">
        <is>
          <t>Harrow Bay site</t>
        </is>
      </c>
      <c r="C10" s="3" t="inlineStr">
        <is>
          <t>Bolt tensioning / TP works</t>
        </is>
      </c>
      <c r="D10" s="3" t="n">
        <v>22</v>
      </c>
      <c r="E10" s="3" t="n">
        <v>2</v>
      </c>
      <c r="F10" s="3" t="n">
        <v>0</v>
      </c>
      <c r="G10" s="3" t="n">
        <v>1</v>
      </c>
      <c r="H10" s="3" t="n">
        <v>6.6</v>
      </c>
      <c r="I10" s="3" t="n">
        <v>101</v>
      </c>
      <c r="J10" s="4" t="n">
        <v>19.6</v>
      </c>
      <c r="K10" s="3" t="inlineStr"/>
    </row>
    <row r="11">
      <c r="A11" s="5" t="n">
        <v>46244</v>
      </c>
      <c r="B11" s="6" t="inlineStr">
        <is>
          <t>Harrow Bay site</t>
        </is>
      </c>
      <c r="C11" s="6" t="inlineStr">
        <is>
          <t>Bolt tensioning / TP works</t>
        </is>
      </c>
      <c r="D11" s="6" t="n">
        <v>16</v>
      </c>
      <c r="E11" s="6" t="n">
        <v>8</v>
      </c>
      <c r="F11" s="6" t="n">
        <v>0</v>
      </c>
      <c r="G11" s="6" t="n">
        <v>2</v>
      </c>
      <c r="H11" s="6" t="n">
        <v>8.800000000000001</v>
      </c>
      <c r="I11" s="6" t="n">
        <v>101</v>
      </c>
      <c r="J11" s="7" t="n">
        <v>18.2</v>
      </c>
      <c r="K11" s="6" t="inlineStr"/>
    </row>
    <row r="12">
      <c r="A12" s="2" t="n">
        <v>46245</v>
      </c>
      <c r="B12" s="3" t="inlineStr">
        <is>
          <t>HB-A11</t>
        </is>
      </c>
      <c r="C12" s="3" t="inlineStr">
        <is>
          <t>Waiting on weather</t>
        </is>
      </c>
      <c r="D12" s="3" t="n">
        <v>8</v>
      </c>
      <c r="E12" s="3" t="n">
        <v>16</v>
      </c>
      <c r="F12" s="3" t="n">
        <v>0</v>
      </c>
      <c r="G12" s="3" t="n">
        <v>2.5</v>
      </c>
      <c r="H12" s="3" t="n">
        <v>14.5</v>
      </c>
      <c r="I12" s="3" t="n">
        <v>90</v>
      </c>
      <c r="J12" s="4" t="n">
        <v>26.4</v>
      </c>
      <c r="K12" s="3" t="inlineStr"/>
    </row>
    <row r="13">
      <c r="A13" s="5" t="n">
        <v>46246</v>
      </c>
      <c r="B13" s="6" t="inlineStr">
        <is>
          <t>Harrow Bay site</t>
        </is>
      </c>
      <c r="C13" s="6" t="inlineStr">
        <is>
          <t>Bolt tensioning / TP works</t>
        </is>
      </c>
      <c r="D13" s="6" t="n">
        <v>15</v>
      </c>
      <c r="E13" s="6" t="n">
        <v>9</v>
      </c>
      <c r="F13" s="6" t="n">
        <v>0</v>
      </c>
      <c r="G13" s="6" t="n">
        <v>1.6</v>
      </c>
      <c r="H13" s="6" t="n">
        <v>10.6</v>
      </c>
      <c r="I13" s="6" t="n">
        <v>102</v>
      </c>
      <c r="J13" s="7" t="n">
        <v>25.4</v>
      </c>
      <c r="K13" s="6" t="inlineStr"/>
    </row>
    <row r="14">
      <c r="A14" s="2" t="n">
        <v>46247</v>
      </c>
      <c r="B14" s="3" t="inlineStr">
        <is>
          <t>Harrow Bay site</t>
        </is>
      </c>
      <c r="C14" s="3" t="inlineStr">
        <is>
          <t>Bolt tensioning / TP works</t>
        </is>
      </c>
      <c r="D14" s="3" t="n">
        <v>21</v>
      </c>
      <c r="E14" s="3" t="n">
        <v>3</v>
      </c>
      <c r="F14" s="3" t="n">
        <v>0</v>
      </c>
      <c r="G14" s="3" t="n">
        <v>1.4</v>
      </c>
      <c r="H14" s="3" t="n">
        <v>6.4</v>
      </c>
      <c r="I14" s="3" t="n">
        <v>88</v>
      </c>
      <c r="J14" s="4" t="n">
        <v>19.8</v>
      </c>
      <c r="K14" s="3" t="inlineStr"/>
    </row>
    <row r="15">
      <c r="A15" s="5" t="n">
        <v>46248</v>
      </c>
      <c r="B15" s="6" t="inlineStr">
        <is>
          <t>Harrow Bay site</t>
        </is>
      </c>
      <c r="C15" s="6" t="inlineStr">
        <is>
          <t>Bolt tensioning / TP works</t>
        </is>
      </c>
      <c r="D15" s="6" t="n">
        <v>24</v>
      </c>
      <c r="E15" s="6" t="n">
        <v>0</v>
      </c>
      <c r="F15" s="6" t="n">
        <v>0</v>
      </c>
      <c r="G15" s="6" t="n">
        <v>1</v>
      </c>
      <c r="H15" s="6" t="n">
        <v>6</v>
      </c>
      <c r="I15" s="6" t="n">
        <v>101</v>
      </c>
      <c r="J15" s="7" t="n">
        <v>25.4</v>
      </c>
      <c r="K15" s="6" t="inlineStr"/>
    </row>
    <row r="16">
      <c r="A16" s="2" t="n">
        <v>46249</v>
      </c>
      <c r="B16" s="3" t="inlineStr">
        <is>
          <t>Harrow Bay site</t>
        </is>
      </c>
      <c r="C16" s="3" t="inlineStr">
        <is>
          <t>Bolt tensioning / TP works</t>
        </is>
      </c>
      <c r="D16" s="3" t="n">
        <v>18</v>
      </c>
      <c r="E16" s="3" t="n">
        <v>6</v>
      </c>
      <c r="F16" s="3" t="n">
        <v>0</v>
      </c>
      <c r="G16" s="3" t="n">
        <v>1.7</v>
      </c>
      <c r="H16" s="3" t="n">
        <v>9.1</v>
      </c>
      <c r="I16" s="3" t="n">
        <v>97</v>
      </c>
      <c r="J16" s="4" t="n">
        <v>23.8</v>
      </c>
      <c r="K16" s="3" t="inlineStr"/>
    </row>
    <row r="17">
      <c r="A17" s="5" t="n">
        <v>46250</v>
      </c>
      <c r="B17" s="6" t="inlineStr">
        <is>
          <t>Harrow Bay site</t>
        </is>
      </c>
      <c r="C17" s="6" t="inlineStr">
        <is>
          <t>Bolt tensioning / TP works</t>
        </is>
      </c>
      <c r="D17" s="6" t="n">
        <v>20</v>
      </c>
      <c r="E17" s="6" t="n">
        <v>4</v>
      </c>
      <c r="F17" s="6" t="n">
        <v>0</v>
      </c>
      <c r="G17" s="6" t="n">
        <v>1.1</v>
      </c>
      <c r="H17" s="6" t="n">
        <v>7.3</v>
      </c>
      <c r="I17" s="6" t="n">
        <v>104</v>
      </c>
      <c r="J17" s="7" t="n">
        <v>23.6</v>
      </c>
      <c r="K17" s="6" t="inlineStr"/>
    </row>
    <row r="18">
      <c r="A18" s="2" t="n">
        <v>46251</v>
      </c>
      <c r="B18" s="3" t="inlineStr">
        <is>
          <t>Harrow Bay site</t>
        </is>
      </c>
      <c r="C18" s="3" t="inlineStr">
        <is>
          <t>Bolt tensioning / TP works</t>
        </is>
      </c>
      <c r="D18" s="3" t="n">
        <v>22</v>
      </c>
      <c r="E18" s="3" t="n">
        <v>2</v>
      </c>
      <c r="F18" s="3" t="n">
        <v>0</v>
      </c>
      <c r="G18" s="3" t="n">
        <v>1.1</v>
      </c>
      <c r="H18" s="3" t="n">
        <v>7.4</v>
      </c>
      <c r="I18" s="3" t="n">
        <v>99</v>
      </c>
      <c r="J18" s="4" t="n">
        <v>24.5</v>
      </c>
      <c r="K18" s="3" t="inlineStr"/>
    </row>
    <row r="19">
      <c r="A19" s="5" t="n">
        <v>46252</v>
      </c>
      <c r="B19" s="6" t="inlineStr">
        <is>
          <t>Harrow Bay site</t>
        </is>
      </c>
      <c r="C19" s="6" t="inlineStr">
        <is>
          <t>Standby outside OSS exclusion zone</t>
        </is>
      </c>
      <c r="D19" s="6" t="n">
        <v>15</v>
      </c>
      <c r="E19" s="6" t="n">
        <v>9</v>
      </c>
      <c r="F19" s="6" t="n">
        <v>0</v>
      </c>
      <c r="G19" s="6" t="n">
        <v>1.8</v>
      </c>
      <c r="H19" s="6" t="n">
        <v>12</v>
      </c>
      <c r="I19" s="6" t="n">
        <v>102</v>
      </c>
      <c r="J19" s="7" t="n">
        <v>19.7</v>
      </c>
      <c r="K19" s="6" t="inlineStr"/>
    </row>
    <row r="20">
      <c r="A20" s="2" t="n">
        <v>46253</v>
      </c>
      <c r="B20" s="3" t="inlineStr">
        <is>
          <t>Harrow Bay site</t>
        </is>
      </c>
      <c r="C20" s="3" t="inlineStr">
        <is>
          <t>Standby outside OSS exclusion zone</t>
        </is>
      </c>
      <c r="D20" s="3" t="n">
        <v>24</v>
      </c>
      <c r="E20" s="3" t="n">
        <v>0</v>
      </c>
      <c r="F20" s="3" t="n">
        <v>0</v>
      </c>
      <c r="G20" s="3" t="n">
        <v>0.8</v>
      </c>
      <c r="H20" s="3" t="n">
        <v>6</v>
      </c>
      <c r="I20" s="3" t="n">
        <v>101</v>
      </c>
      <c r="J20" s="4" t="n">
        <v>18.1</v>
      </c>
      <c r="K20" s="3" t="inlineStr">
        <is>
          <t>OSS topside lift completed 11:15</t>
        </is>
      </c>
    </row>
    <row r="21">
      <c r="A21" s="5" t="n">
        <v>46254</v>
      </c>
      <c r="B21" s="6" t="inlineStr">
        <is>
          <t>Harrow Bay site</t>
        </is>
      </c>
      <c r="C21" s="6" t="inlineStr">
        <is>
          <t>Standby outside OSS exclusion zone</t>
        </is>
      </c>
      <c r="D21" s="6" t="n">
        <v>24</v>
      </c>
      <c r="E21" s="6" t="n">
        <v>0</v>
      </c>
      <c r="F21" s="6" t="n">
        <v>0</v>
      </c>
      <c r="G21" s="6" t="n">
        <v>1</v>
      </c>
      <c r="H21" s="6" t="n">
        <v>7.3</v>
      </c>
      <c r="I21" s="6" t="n">
        <v>90</v>
      </c>
      <c r="J21" s="7" t="n">
        <v>25.1</v>
      </c>
      <c r="K21" s="6" t="inlineStr"/>
    </row>
    <row r="22">
      <c r="A22" s="2" t="n">
        <v>46255</v>
      </c>
      <c r="B22" s="3" t="inlineStr">
        <is>
          <t>Harrow Bay site</t>
        </is>
      </c>
      <c r="C22" s="3" t="inlineStr">
        <is>
          <t>Bolt tensioning / TP works</t>
        </is>
      </c>
      <c r="D22" s="3" t="n">
        <v>23</v>
      </c>
      <c r="E22" s="3" t="n">
        <v>1</v>
      </c>
      <c r="F22" s="3" t="n">
        <v>0</v>
      </c>
      <c r="G22" s="3" t="n">
        <v>0.8</v>
      </c>
      <c r="H22" s="3" t="n">
        <v>7.7</v>
      </c>
      <c r="I22" s="3" t="n">
        <v>88</v>
      </c>
      <c r="J22" s="4" t="n">
        <v>18.5</v>
      </c>
      <c r="K22" s="3" t="inlineStr"/>
    </row>
    <row r="23">
      <c r="A23" s="5" t="n">
        <v>46256</v>
      </c>
      <c r="B23" s="6" t="inlineStr">
        <is>
          <t>Harrow Bay site</t>
        </is>
      </c>
      <c r="C23" s="6" t="inlineStr">
        <is>
          <t>Bolt tensioning / TP works</t>
        </is>
      </c>
      <c r="D23" s="6" t="n">
        <v>15</v>
      </c>
      <c r="E23" s="6" t="n">
        <v>9</v>
      </c>
      <c r="F23" s="6" t="n">
        <v>0</v>
      </c>
      <c r="G23" s="6" t="n">
        <v>1.7</v>
      </c>
      <c r="H23" s="6" t="n">
        <v>11.2</v>
      </c>
      <c r="I23" s="6" t="n">
        <v>90</v>
      </c>
      <c r="J23" s="7" t="n">
        <v>22.2</v>
      </c>
      <c r="K23" s="6" t="inlineStr"/>
    </row>
    <row r="24">
      <c r="A24" s="2" t="n">
        <v>46257</v>
      </c>
      <c r="B24" s="3" t="inlineStr">
        <is>
          <t>HB-A12</t>
        </is>
      </c>
      <c r="C24" s="3" t="inlineStr">
        <is>
          <t>Monopile installation HB-A12</t>
        </is>
      </c>
      <c r="D24" s="3" t="n">
        <v>24</v>
      </c>
      <c r="E24" s="3" t="n">
        <v>0</v>
      </c>
      <c r="F24" s="3" t="n">
        <v>0</v>
      </c>
      <c r="G24" s="3" t="n">
        <v>0.7</v>
      </c>
      <c r="H24" s="3" t="n">
        <v>5.6</v>
      </c>
      <c r="I24" s="3" t="n">
        <v>96</v>
      </c>
      <c r="J24" s="4" t="n">
        <v>18.5</v>
      </c>
      <c r="K24" s="3" t="inlineStr"/>
    </row>
    <row r="25">
      <c r="A25" s="5" t="n">
        <v>46258</v>
      </c>
      <c r="B25" s="6" t="inlineStr">
        <is>
          <t>Harrow Bay site</t>
        </is>
      </c>
      <c r="C25" s="6" t="inlineStr">
        <is>
          <t>Bolt tensioning / TP works</t>
        </is>
      </c>
      <c r="D25" s="6" t="n">
        <v>21</v>
      </c>
      <c r="E25" s="6" t="n">
        <v>3</v>
      </c>
      <c r="F25" s="6" t="n">
        <v>0</v>
      </c>
      <c r="G25" s="6" t="n">
        <v>1.2</v>
      </c>
      <c r="H25" s="6" t="n">
        <v>6.6</v>
      </c>
      <c r="I25" s="6" t="n">
        <v>93</v>
      </c>
      <c r="J25" s="7" t="n">
        <v>23.1</v>
      </c>
      <c r="K25" s="6" t="inlineStr"/>
    </row>
    <row r="26">
      <c r="A26" s="2" t="n">
        <v>46259</v>
      </c>
      <c r="B26" s="3" t="inlineStr">
        <is>
          <t>Harrow Bay site</t>
        </is>
      </c>
      <c r="C26" s="3" t="inlineStr">
        <is>
          <t>Bolt tensioning / TP works</t>
        </is>
      </c>
      <c r="D26" s="3" t="n">
        <v>21</v>
      </c>
      <c r="E26" s="3" t="n">
        <v>3</v>
      </c>
      <c r="F26" s="3" t="n">
        <v>0</v>
      </c>
      <c r="G26" s="3" t="n">
        <v>1.5</v>
      </c>
      <c r="H26" s="3" t="n">
        <v>6.4</v>
      </c>
      <c r="I26" s="3" t="n">
        <v>96</v>
      </c>
      <c r="J26" s="4" t="n">
        <v>25.4</v>
      </c>
      <c r="K26" s="3" t="inlineStr"/>
    </row>
    <row r="27">
      <c r="A27" s="5" t="n">
        <v>46260</v>
      </c>
      <c r="B27" s="6" t="inlineStr">
        <is>
          <t>HB-A12</t>
        </is>
      </c>
      <c r="C27" s="6" t="inlineStr">
        <is>
          <t>Transition piece installation HB-A12</t>
        </is>
      </c>
      <c r="D27" s="6" t="n">
        <v>17</v>
      </c>
      <c r="E27" s="6" t="n">
        <v>7</v>
      </c>
      <c r="F27" s="6" t="n">
        <v>0</v>
      </c>
      <c r="G27" s="6" t="n">
        <v>1.4</v>
      </c>
      <c r="H27" s="6" t="n">
        <v>10.1</v>
      </c>
      <c r="I27" s="6" t="n">
        <v>91</v>
      </c>
      <c r="J27" s="7" t="n">
        <v>26</v>
      </c>
      <c r="K27" s="6" t="inlineStr"/>
    </row>
    <row r="28">
      <c r="A28" s="2" t="n">
        <v>46261</v>
      </c>
      <c r="B28" s="3" t="inlineStr">
        <is>
          <t>Port of Eastholm</t>
        </is>
      </c>
      <c r="C28" s="3" t="inlineStr">
        <is>
          <t>Load-out of monopiles and TPs</t>
        </is>
      </c>
      <c r="D28" s="3" t="n">
        <v>0</v>
      </c>
      <c r="E28" s="3" t="n">
        <v>7</v>
      </c>
      <c r="F28" s="3" t="n">
        <v>17</v>
      </c>
      <c r="G28" s="3" t="n">
        <v>1.5</v>
      </c>
      <c r="H28" s="3" t="n">
        <v>9.699999999999999</v>
      </c>
      <c r="I28" s="3" t="n">
        <v>97</v>
      </c>
      <c r="J28" s="4" t="n">
        <v>12.8</v>
      </c>
      <c r="K28" s="3" t="inlineStr"/>
    </row>
    <row r="29">
      <c r="A29" s="5" t="n">
        <v>46262</v>
      </c>
      <c r="B29" s="6" t="inlineStr">
        <is>
          <t>Port of Eastholm</t>
        </is>
      </c>
      <c r="C29" s="6" t="inlineStr">
        <is>
          <t>Load-out of monopiles and TPs</t>
        </is>
      </c>
      <c r="D29" s="6" t="n">
        <v>0</v>
      </c>
      <c r="E29" s="6" t="n">
        <v>5</v>
      </c>
      <c r="F29" s="6" t="n">
        <v>19</v>
      </c>
      <c r="G29" s="6" t="n">
        <v>1.7</v>
      </c>
      <c r="H29" s="6" t="n">
        <v>10</v>
      </c>
      <c r="I29" s="6" t="n">
        <v>100</v>
      </c>
      <c r="J29" s="7" t="n">
        <v>10.3</v>
      </c>
      <c r="K29" s="6" t="inlineStr"/>
    </row>
    <row r="30">
      <c r="A30" s="2" t="n">
        <v>46263</v>
      </c>
      <c r="B30" s="3" t="inlineStr">
        <is>
          <t>Port of Eastholm</t>
        </is>
      </c>
      <c r="C30" s="3" t="inlineStr">
        <is>
          <t>Load-out of monopiles and TPs</t>
        </is>
      </c>
      <c r="D30" s="3" t="n">
        <v>0</v>
      </c>
      <c r="E30" s="3" t="n">
        <v>0</v>
      </c>
      <c r="F30" s="3" t="n">
        <v>24</v>
      </c>
      <c r="G30" s="3" t="n">
        <v>1.1</v>
      </c>
      <c r="H30" s="3" t="n">
        <v>7.7</v>
      </c>
      <c r="I30" s="3" t="n">
        <v>95</v>
      </c>
      <c r="J30" s="4" t="n">
        <v>9.6</v>
      </c>
      <c r="K30" s="3" t="inlineStr"/>
    </row>
    <row r="31">
      <c r="A31" s="5" t="n">
        <v>46264</v>
      </c>
      <c r="B31" s="6" t="inlineStr">
        <is>
          <t>Harrow Bay site</t>
        </is>
      </c>
      <c r="C31" s="6" t="inlineStr">
        <is>
          <t>Bolt tensioning / TP works</t>
        </is>
      </c>
      <c r="D31" s="6" t="n">
        <v>23</v>
      </c>
      <c r="E31" s="6" t="n">
        <v>1</v>
      </c>
      <c r="F31" s="6" t="n">
        <v>0</v>
      </c>
      <c r="G31" s="6" t="n">
        <v>1</v>
      </c>
      <c r="H31" s="6" t="n">
        <v>8.1</v>
      </c>
      <c r="I31" s="6" t="n">
        <v>101</v>
      </c>
      <c r="J31" s="7" t="n">
        <v>18.9</v>
      </c>
      <c r="K31" s="6" t="inlineStr"/>
    </row>
    <row r="32">
      <c r="A32" s="2" t="n">
        <v>46265</v>
      </c>
      <c r="B32" s="3" t="inlineStr">
        <is>
          <t>Harrow Bay site</t>
        </is>
      </c>
      <c r="C32" s="3" t="inlineStr">
        <is>
          <t>Waiting on weather</t>
        </is>
      </c>
      <c r="D32" s="3" t="n">
        <v>8</v>
      </c>
      <c r="E32" s="3" t="n">
        <v>16</v>
      </c>
      <c r="F32" s="3" t="n">
        <v>0</v>
      </c>
      <c r="G32" s="3" t="n">
        <v>2.6</v>
      </c>
      <c r="H32" s="3" t="n">
        <v>13.9</v>
      </c>
      <c r="I32" s="3" t="n">
        <v>99</v>
      </c>
      <c r="J32" s="4" t="n">
        <v>23.8</v>
      </c>
      <c r="K32" s="3" t="inlineStr"/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3" t="inlineStr">
        <is>
          <t>Operational hours</t>
        </is>
      </c>
      <c r="B2" s="3">
        <f>SUM('Daily log'!D2:D32)</f>
        <v/>
      </c>
    </row>
    <row r="3">
      <c r="A3" s="6" t="inlineStr">
        <is>
          <t>Waiting on weather (h)</t>
        </is>
      </c>
      <c r="B3" s="6">
        <f>SUM('Daily log'!E2:E32)</f>
        <v/>
      </c>
    </row>
    <row r="4">
      <c r="A4" s="3" t="inlineStr">
        <is>
          <t>Transit / port (h)</t>
        </is>
      </c>
      <c r="B4" s="3">
        <f>SUM('Daily log'!F2:F32)</f>
        <v/>
      </c>
    </row>
    <row r="5">
      <c r="A5" s="6" t="inlineStr">
        <is>
          <t>Average POB</t>
        </is>
      </c>
      <c r="B5" s="6">
        <f>ROUND(AVERAGE('Daily log'!I2:I32),0)</f>
        <v/>
      </c>
    </row>
    <row r="6">
      <c r="A6" s="3" t="inlineStr">
        <is>
          <t>Fuel consumption (m³)</t>
        </is>
      </c>
      <c r="B6" s="3">
        <f>SUM('Daily log'!J2:J32)</f>
        <v/>
      </c>
    </row>
    <row r="7">
      <c r="A7" s="6" t="inlineStr">
        <is>
          <t>Monopiles installed</t>
        </is>
      </c>
      <c r="B7" s="6" t="n">
        <v>2</v>
      </c>
    </row>
    <row r="8">
      <c r="A8" s="3" t="inlineStr">
        <is>
          <t>Transition pieces installed</t>
        </is>
      </c>
      <c r="B8" s="3" t="n">
        <v>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2026-08-02T10:00:00Z</dcterms:created>
  <dcterms:modified xmlns:dcterms="http://purl.org/dc/terms/" xmlns:xsi="http://www.w3.org/2001/XMLSchema-instance" xsi:type="dcterms:W3CDTF">2026-10-04T19:30:27Z</dcterms:modified>
  <cp:lastModifiedBy>Elena Márquez</cp:lastModifiedBy>
</cp:coreProperties>
</file>