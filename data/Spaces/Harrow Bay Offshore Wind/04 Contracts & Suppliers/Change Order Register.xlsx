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 orders" sheetId="1" state="visible" r:id="rId1"/>
    <sheet xmlns:r="http://schemas.openxmlformats.org/officeDocument/2006/relationships" name="By contract" sheetId="2" state="visible" r:id="rId2"/>
  </sheets>
  <definedNames>
    <definedName name="_xlnm._FilterDatabase" localSheetId="0" hidden="1">'Change orders'!$A$1:$F$14</definedName>
    <definedName name="_xlnm._FilterDatabase" localSheetId="1" hidden="1">'By contract'!$A$1:$C$5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165" fontId="1" fillId="0" borderId="1" pivotButton="0" quotePrefix="0" xfId="0"/>
    <xf numFmtId="4" fontId="1" fillId="0" borderId="1" pivotButton="0" quotePrefix="0" xfId="0"/>
    <xf numFmtId="0" fontId="1" fillId="3" borderId="1" pivotButton="0" quotePrefix="0" xfId="0"/>
    <xf numFmtId="165" fontId="1" fillId="3" borderId="1" pivotButton="0" quotePrefix="0" xfId="0"/>
    <xf numFmtId="4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70" customWidth="1" min="3" max="3"/>
    <col width="12" customWidth="1" min="4" max="4"/>
    <col width="13" customWidth="1" min="5" max="5"/>
    <col width="36" customWidth="1" min="6" max="6"/>
  </cols>
  <sheetData>
    <row r="1">
      <c r="A1" s="1" t="inlineStr">
        <is>
          <t>CO no.</t>
        </is>
      </c>
      <c r="B1" s="1" t="inlineStr">
        <is>
          <t>Contract</t>
        </is>
      </c>
      <c r="C1" s="1" t="inlineStr">
        <is>
          <t>Description</t>
        </is>
      </c>
      <c r="D1" s="1" t="inlineStr">
        <is>
          <t>Date</t>
        </is>
      </c>
      <c r="E1" s="1" t="inlineStr">
        <is>
          <t>Value (EUR m)</t>
        </is>
      </c>
      <c r="F1" s="1" t="inlineStr">
        <is>
          <t>Status</t>
        </is>
      </c>
    </row>
    <row r="2">
      <c r="A2" s="2" t="inlineStr">
        <is>
          <t>CO-001</t>
        </is>
      </c>
      <c r="B2" s="2" t="inlineStr">
        <is>
          <t>WE-CON-2025-027</t>
        </is>
      </c>
      <c r="C2" s="2" t="inlineStr">
        <is>
          <t>Additional anode cages on TPs for HB-B and HB-C strings (corrosion design update)</t>
        </is>
      </c>
      <c r="D2" s="3" t="n">
        <v>45995</v>
      </c>
      <c r="E2" s="4" t="n">
        <v>1.2</v>
      </c>
      <c r="F2" s="2" t="inlineStr">
        <is>
          <t>Approved</t>
        </is>
      </c>
    </row>
    <row r="3">
      <c r="A3" s="5" t="inlineStr">
        <is>
          <t>CO-002</t>
        </is>
      </c>
      <c r="B3" s="5" t="inlineStr">
        <is>
          <t>WE-CON-2025-031</t>
        </is>
      </c>
      <c r="C3" s="5" t="inlineStr">
        <is>
          <t>Extended burial depth 1.5 m to 2.0 m in fishing grounds KP 12–KP 19</t>
        </is>
      </c>
      <c r="D3" s="6" t="n">
        <v>46043</v>
      </c>
      <c r="E3" s="7" t="n">
        <v>0</v>
      </c>
      <c r="F3" s="5" t="inlineStr">
        <is>
          <t>Approved – cost neutral</t>
        </is>
      </c>
    </row>
    <row r="4">
      <c r="A4" s="2" t="inlineStr">
        <is>
          <t>CO-003</t>
        </is>
      </c>
      <c r="B4" s="2" t="inlineStr">
        <is>
          <t>WE-CON-2025-027</t>
        </is>
      </c>
      <c r="C4" s="2" t="inlineStr">
        <is>
          <t>Boat landing redesign for HTS-12 service vessel fendering</t>
        </is>
      </c>
      <c r="D4" s="3" t="n">
        <v>46080</v>
      </c>
      <c r="E4" s="4" t="n">
        <v>1.65</v>
      </c>
      <c r="F4" s="2" t="inlineStr">
        <is>
          <t>Approved</t>
        </is>
      </c>
    </row>
    <row r="5">
      <c r="A5" s="5" t="inlineStr">
        <is>
          <t>CO-004</t>
        </is>
      </c>
      <c r="B5" s="5" t="inlineStr">
        <is>
          <t>WE-CON-2025-035</t>
        </is>
      </c>
      <c r="C5" s="5" t="inlineStr">
        <is>
          <t>Additional 66 kV switchgear bay for future expansion</t>
        </is>
      </c>
      <c r="D5" s="6" t="n">
        <v>46091</v>
      </c>
      <c r="E5" s="7" t="n">
        <v>2.4</v>
      </c>
      <c r="F5" s="5" t="inlineStr">
        <is>
          <t>Approved</t>
        </is>
      </c>
    </row>
    <row r="6">
      <c r="A6" s="2" t="inlineStr">
        <is>
          <t>CO-005</t>
        </is>
      </c>
      <c r="B6" s="2" t="inlineStr">
        <is>
          <t>WE-CON-2025-040</t>
        </is>
      </c>
      <c r="C6" s="2" t="inlineStr">
        <is>
          <t>Bubble curtain support vessel – extended scope for second hose ring</t>
        </is>
      </c>
      <c r="D6" s="3" t="n">
        <v>46114</v>
      </c>
      <c r="E6" s="4" t="n">
        <v>0.92</v>
      </c>
      <c r="F6" s="2" t="inlineStr">
        <is>
          <t>Approved</t>
        </is>
      </c>
    </row>
    <row r="7">
      <c r="A7" s="5" t="inlineStr">
        <is>
          <t>CO-006</t>
        </is>
      </c>
      <c r="B7" s="5" t="inlineStr">
        <is>
          <t>WE-CON-2025-027</t>
        </is>
      </c>
      <c r="C7" s="5" t="inlineStr">
        <is>
          <t>Coating repair procedure and quay inspection (batch 3)</t>
        </is>
      </c>
      <c r="D7" s="6" t="n">
        <v>46157</v>
      </c>
      <c r="E7" s="7" t="n">
        <v>0.18</v>
      </c>
      <c r="F7" s="5" t="inlineStr">
        <is>
          <t>Approved</t>
        </is>
      </c>
    </row>
    <row r="8">
      <c r="A8" s="2" t="inlineStr">
        <is>
          <t>CO-007</t>
        </is>
      </c>
      <c r="B8" s="2" t="inlineStr">
        <is>
          <t>WE-CON-2025-027</t>
        </is>
      </c>
      <c r="C8" s="2" t="inlineStr">
        <is>
          <t>Increased pile wall thickness at HB-C10 to HB-C13 after geotechnical update</t>
        </is>
      </c>
      <c r="D8" s="3" t="n">
        <v>46184</v>
      </c>
      <c r="E8" s="4" t="n">
        <v>0.57</v>
      </c>
      <c r="F8" s="2" t="inlineStr">
        <is>
          <t>Approved</t>
        </is>
      </c>
    </row>
    <row r="9">
      <c r="A9" s="5" t="inlineStr">
        <is>
          <t>CO-008</t>
        </is>
      </c>
      <c r="B9" s="5" t="inlineStr">
        <is>
          <t>WE-CON-2025-035</t>
        </is>
      </c>
      <c r="C9" s="5" t="inlineStr">
        <is>
          <t>Helideck lighting upgrade to CAP 437 edition 9</t>
        </is>
      </c>
      <c r="D9" s="6" t="n">
        <v>46203</v>
      </c>
      <c r="E9" s="7" t="n">
        <v>0.8</v>
      </c>
      <c r="F9" s="5" t="inlineStr">
        <is>
          <t>Approved</t>
        </is>
      </c>
    </row>
    <row r="10">
      <c r="A10" s="2" t="inlineStr">
        <is>
          <t>CO-009</t>
        </is>
      </c>
      <c r="B10" s="2" t="inlineStr">
        <is>
          <t>WE-CON-2025-040</t>
        </is>
      </c>
      <c r="C10" s="2" t="inlineStr">
        <is>
          <t>Weather standby above contractual allowance (April–August)</t>
        </is>
      </c>
      <c r="D10" s="3" t="n">
        <v>46265</v>
      </c>
      <c r="E10" s="4" t="n">
        <v>2.33</v>
      </c>
      <c r="F10" s="2" t="inlineStr">
        <is>
          <t>Approved</t>
        </is>
      </c>
    </row>
    <row r="11">
      <c r="A11" s="5" t="inlineStr">
        <is>
          <t>CO-010</t>
        </is>
      </c>
      <c r="B11" s="5" t="inlineStr">
        <is>
          <t>WE-CON-2025-031</t>
        </is>
      </c>
      <c r="C11" s="5" t="inlineStr">
        <is>
          <t>Resequencing of cable lay campaign following export cable 2 delay</t>
        </is>
      </c>
      <c r="D11" s="6" t="n">
        <v>46273</v>
      </c>
      <c r="E11" s="7" t="n">
        <v>6.8</v>
      </c>
      <c r="F11" s="5" t="inlineStr">
        <is>
          <t>Under negotiation – LD offset reserved</t>
        </is>
      </c>
    </row>
    <row r="12">
      <c r="A12" s="2" t="inlineStr">
        <is>
          <t>CO-011</t>
        </is>
      </c>
      <c r="B12" s="2" t="inlineStr">
        <is>
          <t>WE-CON-2025-040</t>
        </is>
      </c>
      <c r="C12" s="2" t="inlineStr">
        <is>
          <t>Exercise of charter option 2 (+45 days)</t>
        </is>
      </c>
      <c r="D12" s="3" t="n">
        <v>46289</v>
      </c>
      <c r="E12" s="4" t="n">
        <v>2.25</v>
      </c>
      <c r="F12" s="2" t="inlineStr">
        <is>
          <t>Approved by SteerCo 2026-09-23</t>
        </is>
      </c>
    </row>
    <row r="13">
      <c r="A13" s="5" t="inlineStr">
        <is>
          <t>CO-012</t>
        </is>
      </c>
      <c r="B13" s="5" t="inlineStr">
        <is>
          <t>WE-CON-2025-035</t>
        </is>
      </c>
      <c r="C13" s="5" t="inlineStr">
        <is>
          <t>Topside lift: additional sea-fastening removal shift</t>
        </is>
      </c>
      <c r="D13" s="6" t="n">
        <v>46261</v>
      </c>
      <c r="E13" s="7" t="n">
        <v>0</v>
      </c>
      <c r="F13" s="5" t="inlineStr">
        <is>
          <t>Rejected</t>
        </is>
      </c>
    </row>
    <row r="14">
      <c r="A14" s="2" t="inlineStr">
        <is>
          <t>Total</t>
        </is>
      </c>
      <c r="B14" s="2" t="inlineStr"/>
      <c r="C14" s="2" t="inlineStr">
        <is>
          <t>approved and pending</t>
        </is>
      </c>
      <c r="D14" s="3" t="inlineStr"/>
      <c r="E14" s="4">
        <f>SUM(E2:E13)</f>
        <v/>
      </c>
      <c r="F14" s="2" t="inlineStr"/>
    </row>
  </sheetData>
  <autoFilter ref="A1:F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7" customWidth="1" min="3" max="3"/>
  </cols>
  <sheetData>
    <row r="1">
      <c r="A1" s="1" t="inlineStr">
        <is>
          <t>Contract</t>
        </is>
      </c>
      <c r="B1" s="1" t="inlineStr">
        <is>
          <t>Approved (EUR m)</t>
        </is>
      </c>
      <c r="C1" s="1" t="inlineStr">
        <is>
          <t>Pending (EUR m)</t>
        </is>
      </c>
    </row>
    <row r="2">
      <c r="A2" s="2" t="inlineStr">
        <is>
          <t>WE-CON-2025-027</t>
        </is>
      </c>
      <c r="B2" s="4" t="n">
        <v>3.6</v>
      </c>
      <c r="C2" s="4" t="n">
        <v>0</v>
      </c>
    </row>
    <row r="3">
      <c r="A3" s="5" t="inlineStr">
        <is>
          <t>WE-CON-2025-031</t>
        </is>
      </c>
      <c r="B3" s="7" t="n">
        <v>0</v>
      </c>
      <c r="C3" s="7" t="n">
        <v>6.8</v>
      </c>
    </row>
    <row r="4">
      <c r="A4" s="2" t="inlineStr">
        <is>
          <t>WE-CON-2025-035</t>
        </is>
      </c>
      <c r="B4" s="4" t="n">
        <v>3.2</v>
      </c>
      <c r="C4" s="4" t="n">
        <v>0</v>
      </c>
    </row>
    <row r="5">
      <c r="A5" s="5" t="inlineStr">
        <is>
          <t>WE-CON-2025-040</t>
        </is>
      </c>
      <c r="B5" s="7" t="n">
        <v>5.5</v>
      </c>
      <c r="C5" s="7" t="n">
        <v>0</v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Elena Márquez</dc:creator>
  <dcterms:created xmlns:dcterms="http://purl.org/dc/terms/" xmlns:xsi="http://www.w3.org/2001/XMLSchema-instance" xsi:type="dcterms:W3CDTF">2025-12-04T10:00:00Z</dcterms:created>
  <dcterms:modified xmlns:dcterms="http://purl.org/dc/terms/" xmlns:xsi="http://www.w3.org/2001/XMLSchema-instance" xsi:type="dcterms:W3CDTF">2026-10-04T19:30:28Z</dcterms:modified>
  <cp:lastModifiedBy>Elena Márquez</cp:lastModifiedBy>
</cp:coreProperties>
</file>