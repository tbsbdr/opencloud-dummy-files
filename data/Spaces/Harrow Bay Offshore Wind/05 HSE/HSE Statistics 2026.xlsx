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Incidents" sheetId="3" state="visible" r:id="rId3"/>
  </sheets>
  <definedNames>
    <definedName name="_xlnm._FilterDatabase" localSheetId="0" hidden="1">'Monthly'!$A$1:$I$8</definedName>
    <definedName name="_xlnm._FilterDatabase" localSheetId="1" hidden="1">'KPIs'!$A$1:$C$5</definedName>
    <definedName name="_xlnm._FilterDatabase" localSheetId="2" hidden="1">'Incidents'!$A$1:$E$6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3" fontId="1" fillId="0" borderId="1" pivotButton="0" quotePrefix="0" xfId="0"/>
    <xf numFmtId="0" fontId="1" fillId="3" borderId="1" pivotButton="0" quotePrefix="0" xfId="0"/>
    <xf numFmtId="3" fontId="1" fillId="3" borderId="1" pivotButton="0" quotePrefix="0" xfId="0"/>
    <xf numFmtId="2" fontId="1" fillId="0" borderId="1" pivotButton="0" quotePrefix="0" xfId="0"/>
    <xf numFmtId="2" fontId="1" fillId="3" borderId="1" pivotButton="0" quotePrefix="0" xfId="0"/>
    <xf numFmtId="165" fontId="1" fillId="0" borderId="1" pivotButton="0" quotePrefix="0" xfId="0"/>
    <xf numFmtId="165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2" customWidth="1" min="4" max="4"/>
    <col width="11" customWidth="1" min="5" max="5"/>
    <col width="13" customWidth="1" min="6" max="6"/>
    <col width="18" customWidth="1" min="7" max="7"/>
    <col width="15" customWidth="1" min="8" max="8"/>
    <col width="22" customWidth="1" min="9" max="9"/>
  </cols>
  <sheetData>
    <row r="1">
      <c r="A1" s="1" t="inlineStr">
        <is>
          <t>Month</t>
        </is>
      </c>
      <c r="B1" s="1" t="inlineStr">
        <is>
          <t>Man-hours</t>
        </is>
      </c>
      <c r="C1" s="1" t="inlineStr">
        <is>
          <t>LTI</t>
        </is>
      </c>
      <c r="D1" s="1" t="inlineStr">
        <is>
          <t>Recordable</t>
        </is>
      </c>
      <c r="E1" s="1" t="inlineStr">
        <is>
          <t>First aid</t>
        </is>
      </c>
      <c r="F1" s="1" t="inlineStr">
        <is>
          <t>Near misses</t>
        </is>
      </c>
      <c r="G1" s="1" t="inlineStr">
        <is>
          <t>HSE observations</t>
        </is>
      </c>
      <c r="H1" s="1" t="inlineStr">
        <is>
          <t>Toolbox talks</t>
        </is>
      </c>
      <c r="I1" s="1" t="inlineStr">
        <is>
          <t>Audits / inspections</t>
        </is>
      </c>
    </row>
    <row r="2">
      <c r="A2" s="2" t="inlineStr">
        <is>
          <t>Apr 2026</t>
        </is>
      </c>
      <c r="B2" s="3" t="n">
        <v>58200</v>
      </c>
      <c r="C2" s="2" t="n">
        <v>0</v>
      </c>
      <c r="D2" s="2" t="n">
        <v>0</v>
      </c>
      <c r="E2" s="2" t="n">
        <v>3</v>
      </c>
      <c r="F2" s="2" t="n">
        <v>2</v>
      </c>
      <c r="G2" s="2" t="n">
        <v>96</v>
      </c>
      <c r="H2" s="2" t="n">
        <v>61</v>
      </c>
      <c r="I2" s="2" t="n">
        <v>4</v>
      </c>
    </row>
    <row r="3">
      <c r="A3" s="4" t="inlineStr">
        <is>
          <t>May 2026</t>
        </is>
      </c>
      <c r="B3" s="5" t="n">
        <v>71400</v>
      </c>
      <c r="C3" s="4" t="n">
        <v>0</v>
      </c>
      <c r="D3" s="4" t="n">
        <v>0</v>
      </c>
      <c r="E3" s="4" t="n">
        <v>2</v>
      </c>
      <c r="F3" s="4" t="n">
        <v>2</v>
      </c>
      <c r="G3" s="4" t="n">
        <v>118</v>
      </c>
      <c r="H3" s="4" t="n">
        <v>64</v>
      </c>
      <c r="I3" s="4" t="n">
        <v>5</v>
      </c>
    </row>
    <row r="4">
      <c r="A4" s="2" t="inlineStr">
        <is>
          <t>Jun 2026</t>
        </is>
      </c>
      <c r="B4" s="3" t="n">
        <v>66900</v>
      </c>
      <c r="C4" s="2" t="n">
        <v>0</v>
      </c>
      <c r="D4" s="2" t="n">
        <v>0</v>
      </c>
      <c r="E4" s="2" t="n">
        <v>4</v>
      </c>
      <c r="F4" s="2" t="n">
        <v>1</v>
      </c>
      <c r="G4" s="2" t="n">
        <v>133</v>
      </c>
      <c r="H4" s="2" t="n">
        <v>59</v>
      </c>
      <c r="I4" s="2" t="n">
        <v>7</v>
      </c>
    </row>
    <row r="5">
      <c r="A5" s="4" t="inlineStr">
        <is>
          <t>Jul 2026</t>
        </is>
      </c>
      <c r="B5" s="5" t="n">
        <v>49800</v>
      </c>
      <c r="C5" s="4" t="n">
        <v>0</v>
      </c>
      <c r="D5" s="4" t="n">
        <v>1</v>
      </c>
      <c r="E5" s="4" t="n">
        <v>2</v>
      </c>
      <c r="F5" s="4" t="n">
        <v>0</v>
      </c>
      <c r="G5" s="4" t="n">
        <v>87</v>
      </c>
      <c r="H5" s="4" t="n">
        <v>48</v>
      </c>
      <c r="I5" s="4" t="n">
        <v>3</v>
      </c>
    </row>
    <row r="6">
      <c r="A6" s="2" t="inlineStr">
        <is>
          <t>Aug 2026</t>
        </is>
      </c>
      <c r="B6" s="3" t="n">
        <v>79300</v>
      </c>
      <c r="C6" s="2" t="n">
        <v>0</v>
      </c>
      <c r="D6" s="2" t="n">
        <v>0</v>
      </c>
      <c r="E6" s="2" t="n">
        <v>3</v>
      </c>
      <c r="F6" s="2" t="n">
        <v>2</v>
      </c>
      <c r="G6" s="2" t="n">
        <v>141</v>
      </c>
      <c r="H6" s="2" t="n">
        <v>71</v>
      </c>
      <c r="I6" s="2" t="n">
        <v>6</v>
      </c>
    </row>
    <row r="7">
      <c r="A7" s="4" t="inlineStr">
        <is>
          <t>Sep 2026</t>
        </is>
      </c>
      <c r="B7" s="5" t="n">
        <v>86400</v>
      </c>
      <c r="C7" s="4" t="n">
        <v>0</v>
      </c>
      <c r="D7" s="4" t="n">
        <v>0</v>
      </c>
      <c r="E7" s="4" t="n">
        <v>1</v>
      </c>
      <c r="F7" s="4" t="n">
        <v>1</v>
      </c>
      <c r="G7" s="4" t="n">
        <v>152</v>
      </c>
      <c r="H7" s="4" t="n">
        <v>76</v>
      </c>
      <c r="I7" s="4" t="n">
        <v>6</v>
      </c>
    </row>
    <row r="8">
      <c r="A8" s="2" t="inlineStr">
        <is>
          <t>Total</t>
        </is>
      </c>
      <c r="B8" s="3">
        <f>SUM(B2:B7)</f>
        <v/>
      </c>
      <c r="C8" s="2">
        <f>SUM(C2:C7)</f>
        <v/>
      </c>
      <c r="D8" s="2">
        <f>SUM(D2:D7)</f>
        <v/>
      </c>
      <c r="E8" s="2">
        <f>SUM(E2:E7)</f>
        <v/>
      </c>
      <c r="F8" s="2">
        <f>SUM(F2:F7)</f>
        <v/>
      </c>
      <c r="G8" s="2">
        <f>SUM(G2:G7)</f>
        <v/>
      </c>
      <c r="H8" s="2">
        <f>SUM(H2:H7)</f>
        <v/>
      </c>
      <c r="I8" s="2">
        <f>SUM(I2:I7)</f>
        <v/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Target</t>
        </is>
      </c>
    </row>
    <row r="2">
      <c r="A2" s="2" t="inlineStr">
        <is>
          <t>Total man-hours (construction phase)</t>
        </is>
      </c>
      <c r="B2" s="6">
        <f>'Monthly'!B8</f>
        <v/>
      </c>
      <c r="C2" s="2" t="inlineStr"/>
    </row>
    <row r="3">
      <c r="A3" s="4" t="inlineStr">
        <is>
          <t>LTIF (per 1 m hours)</t>
        </is>
      </c>
      <c r="B3" s="7">
        <f>'Monthly'!C8/'Monthly'!B8*1000000</f>
        <v/>
      </c>
      <c r="C3" s="4" t="n">
        <v>0</v>
      </c>
    </row>
    <row r="4">
      <c r="A4" s="2" t="inlineStr">
        <is>
          <t>TRIF (per 1 m hours)</t>
        </is>
      </c>
      <c r="B4" s="6">
        <f>'Monthly'!D8/'Monthly'!B8*1000000</f>
        <v/>
      </c>
      <c r="C4" s="2" t="n">
        <v>2</v>
      </c>
    </row>
    <row r="5">
      <c r="A5" s="4" t="inlineStr">
        <is>
          <t>Near miss to recordable ratio</t>
        </is>
      </c>
      <c r="B5" s="7">
        <f>'Monthly'!F8/MAX(1,'Monthly'!D8)</f>
        <v/>
      </c>
      <c r="C5" s="4" t="inlineStr">
        <is>
          <t>&gt;= 10</t>
        </is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60" customWidth="1" min="4" max="4"/>
    <col width="9" customWidth="1" min="5" max="5"/>
  </cols>
  <sheetData>
    <row r="1">
      <c r="A1" s="1" t="inlineStr">
        <is>
          <t>Ref.</t>
        </is>
      </c>
      <c r="B1" s="1" t="inlineStr">
        <is>
          <t>Date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HSE-INC-2026-011</t>
        </is>
      </c>
      <c r="B2" s="8" t="n">
        <v>46135</v>
      </c>
      <c r="C2" s="2" t="inlineStr">
        <is>
          <t>Near miss</t>
        </is>
      </c>
      <c r="D2" s="2" t="inlineStr">
        <is>
          <t>CTV bow transfer attempted above Hs limit; aborted by skipper</t>
        </is>
      </c>
      <c r="E2" s="2" t="inlineStr">
        <is>
          <t>Closed</t>
        </is>
      </c>
    </row>
    <row r="3">
      <c r="A3" s="4" t="inlineStr">
        <is>
          <t>HSE-INC-2026-018</t>
        </is>
      </c>
      <c r="B3" s="9" t="n">
        <v>46176</v>
      </c>
      <c r="C3" s="4" t="inlineStr">
        <is>
          <t>Near miss (HiPo)</t>
        </is>
      </c>
      <c r="D3" s="4" t="inlineStr">
        <is>
          <t>Dropped shackle pin from crane block, MV Sea Atlas</t>
        </is>
      </c>
      <c r="E3" s="4" t="inlineStr">
        <is>
          <t>Closed</t>
        </is>
      </c>
    </row>
    <row r="4">
      <c r="A4" s="2" t="inlineStr">
        <is>
          <t>HSE-INC-2026-022</t>
        </is>
      </c>
      <c r="B4" s="8" t="n">
        <v>46211</v>
      </c>
      <c r="C4" s="2" t="inlineStr">
        <is>
          <t>Medical treatment</t>
        </is>
      </c>
      <c r="D4" s="2" t="inlineStr">
        <is>
          <t>Finger laceration during hammer overhaul in port</t>
        </is>
      </c>
      <c r="E4" s="2" t="inlineStr">
        <is>
          <t>Closed</t>
        </is>
      </c>
    </row>
    <row r="5">
      <c r="A5" s="4" t="inlineStr">
        <is>
          <t>HSE-INC-2026-027</t>
        </is>
      </c>
      <c r="B5" s="9" t="n">
        <v>46248</v>
      </c>
      <c r="C5" s="4" t="inlineStr">
        <is>
          <t>Near miss</t>
        </is>
      </c>
      <c r="D5" s="4" t="inlineStr">
        <is>
          <t>SPMT and forklift crossing on Quay 2 without banksman</t>
        </is>
      </c>
      <c r="E5" s="4" t="inlineStr">
        <is>
          <t>Closed</t>
        </is>
      </c>
    </row>
    <row r="6">
      <c r="A6" s="2" t="inlineStr">
        <is>
          <t>HSE-INC-2026-031</t>
        </is>
      </c>
      <c r="B6" s="8" t="n">
        <v>46282</v>
      </c>
      <c r="C6" s="2" t="inlineStr">
        <is>
          <t>Environmental</t>
        </is>
      </c>
      <c r="D6" s="2" t="inlineStr">
        <is>
          <t>Hydraulic oil sheen (&lt; 1 l) from hammer hose, contained on deck</t>
        </is>
      </c>
      <c r="E6" s="2" t="inlineStr">
        <is>
          <t>Closed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Hannah Weber</dc:creator>
  <dcterms:created xmlns:dcterms="http://purl.org/dc/terms/" xmlns:xsi="http://www.w3.org/2001/XMLSchema-instance" xsi:type="dcterms:W3CDTF">2026-05-04T10:00:00Z</dcterms:created>
  <dcterms:modified xmlns:dcterms="http://purl.org/dc/terms/" xmlns:xsi="http://www.w3.org/2001/XMLSchema-instance" xsi:type="dcterms:W3CDTF">2026-10-04T19:30:28Z</dcterms:modified>
  <cp:lastModifiedBy>Hannah Weber</cp:lastModifiedBy>
</cp:coreProperties>
</file>