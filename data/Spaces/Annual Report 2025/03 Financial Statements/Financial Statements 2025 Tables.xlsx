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egments" sheetId="4" state="visible" r:id="rId4"/>
    <sheet xmlns:r="http://schemas.openxmlformats.org/officeDocument/2006/relationships" name="Revenue streams" sheetId="5" state="visible" r:id="rId5"/>
  </sheets>
  <definedNames>
    <definedName name="_xlnm._FilterDatabase" localSheetId="0" hidden="1">'Income statement'!$A$1:$D$13</definedName>
    <definedName name="_xlnm._FilterDatabase" localSheetId="1" hidden="1">'Balance sheet'!$A$1:$C$14</definedName>
    <definedName name="_xlnm._FilterDatabase" localSheetId="2" hidden="1">'Cash flow'!$A$1:$C$17</definedName>
    <definedName name="_xlnm._FilterDatabase" localSheetId="3" hidden="1">'Segments'!$A$1:$E$6</definedName>
    <definedName name="_xlnm._FilterDatabase" localSheetId="4" hidden="1">'Revenue streams'!$A$1:$C$7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12" customWidth="1" min="3" max="3"/>
    <col width="12" customWidth="1" min="4" max="4"/>
  </cols>
  <sheetData>
    <row r="1">
      <c r="A1" s="1" t="inlineStr">
        <is>
          <t>EUR m</t>
        </is>
      </c>
      <c r="B1" s="1" t="inlineStr">
        <is>
          <t>Note</t>
        </is>
      </c>
      <c r="C1" s="1" t="inlineStr">
        <is>
          <t>2025</t>
        </is>
      </c>
      <c r="D1" s="1" t="inlineStr">
        <is>
          <t>2024</t>
        </is>
      </c>
    </row>
    <row r="2">
      <c r="A2" s="2" t="inlineStr">
        <is>
          <t>Revenue</t>
        </is>
      </c>
      <c r="B2" s="2" t="inlineStr">
        <is>
          <t>3</t>
        </is>
      </c>
      <c r="C2" s="3" t="n">
        <v>312</v>
      </c>
      <c r="D2" s="3" t="n">
        <v>276</v>
      </c>
    </row>
    <row r="3">
      <c r="A3" s="4" t="inlineStr">
        <is>
          <t>Other operating income</t>
        </is>
      </c>
      <c r="B3" s="4" t="inlineStr">
        <is>
          <t>4</t>
        </is>
      </c>
      <c r="C3" s="5" t="n">
        <v>6</v>
      </c>
      <c r="D3" s="5" t="n">
        <v>5</v>
      </c>
    </row>
    <row r="4">
      <c r="A4" s="2" t="inlineStr">
        <is>
          <t>Cost of materials and O&amp;M services</t>
        </is>
      </c>
      <c r="B4" s="2" t="inlineStr">
        <is>
          <t>5</t>
        </is>
      </c>
      <c r="C4" s="3" t="n">
        <v>-61</v>
      </c>
      <c r="D4" s="3" t="n">
        <v>-56</v>
      </c>
    </row>
    <row r="5">
      <c r="A5" s="4" t="inlineStr">
        <is>
          <t>Personnel expenses</t>
        </is>
      </c>
      <c r="B5" s="4" t="inlineStr">
        <is>
          <t>6</t>
        </is>
      </c>
      <c r="C5" s="5" t="n">
        <v>-58</v>
      </c>
      <c r="D5" s="5" t="n">
        <v>-52</v>
      </c>
    </row>
    <row r="6">
      <c r="A6" s="2" t="inlineStr">
        <is>
          <t>Other operating expenses</t>
        </is>
      </c>
      <c r="B6" s="2" t="inlineStr">
        <is>
          <t>7</t>
        </is>
      </c>
      <c r="C6" s="3" t="n">
        <v>-51</v>
      </c>
      <c r="D6" s="3" t="n">
        <v>-47</v>
      </c>
    </row>
    <row r="7">
      <c r="A7" s="4" t="inlineStr">
        <is>
          <t>EBITDA</t>
        </is>
      </c>
      <c r="B7" s="4" t="inlineStr"/>
      <c r="C7" s="5" t="n">
        <v>148</v>
      </c>
      <c r="D7" s="5" t="n">
        <v>126</v>
      </c>
    </row>
    <row r="8">
      <c r="A8" s="2" t="inlineStr">
        <is>
          <t>Depreciation and amortisation</t>
        </is>
      </c>
      <c r="B8" s="2" t="inlineStr">
        <is>
          <t>9</t>
        </is>
      </c>
      <c r="C8" s="3" t="n">
        <v>-84</v>
      </c>
      <c r="D8" s="3" t="n">
        <v>-80</v>
      </c>
    </row>
    <row r="9">
      <c r="A9" s="4" t="inlineStr">
        <is>
          <t>EBIT</t>
        </is>
      </c>
      <c r="B9" s="4" t="inlineStr"/>
      <c r="C9" s="5" t="n">
        <v>64</v>
      </c>
      <c r="D9" s="5" t="n">
        <v>46</v>
      </c>
    </row>
    <row r="10">
      <c r="A10" s="2" t="inlineStr">
        <is>
          <t>Net finance costs</t>
        </is>
      </c>
      <c r="B10" s="2" t="inlineStr">
        <is>
          <t>11</t>
        </is>
      </c>
      <c r="C10" s="3" t="n">
        <v>-29</v>
      </c>
      <c r="D10" s="3" t="n">
        <v>-27</v>
      </c>
    </row>
    <row r="11">
      <c r="A11" s="4" t="inlineStr">
        <is>
          <t>Earnings before tax</t>
        </is>
      </c>
      <c r="B11" s="4" t="inlineStr"/>
      <c r="C11" s="5" t="n">
        <v>35</v>
      </c>
      <c r="D11" s="5" t="n">
        <v>19</v>
      </c>
    </row>
    <row r="12">
      <c r="A12" s="2" t="inlineStr">
        <is>
          <t>Income taxes</t>
        </is>
      </c>
      <c r="B12" s="2" t="inlineStr">
        <is>
          <t>13</t>
        </is>
      </c>
      <c r="C12" s="3" t="n">
        <v>-10</v>
      </c>
      <c r="D12" s="3" t="n">
        <v>-5</v>
      </c>
    </row>
    <row r="13">
      <c r="A13" s="4" t="inlineStr">
        <is>
          <t>Net income</t>
        </is>
      </c>
      <c r="B13" s="4" t="inlineStr"/>
      <c r="C13" s="5" t="n">
        <v>25</v>
      </c>
      <c r="D13" s="5" t="n">
        <v>14</v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1" t="inlineStr">
        <is>
          <t>EUR m</t>
        </is>
      </c>
      <c r="B1" s="1" t="inlineStr">
        <is>
          <t>31 Dec 2025</t>
        </is>
      </c>
      <c r="C1" s="1" t="inlineStr">
        <is>
          <t>31 Dec 2024</t>
        </is>
      </c>
    </row>
    <row r="2">
      <c r="A2" s="2" t="inlineStr">
        <is>
          <t>Property, plant and equipment (operating assets)</t>
        </is>
      </c>
      <c r="B2" s="3" t="n">
        <v>1480</v>
      </c>
      <c r="C2" s="3" t="n">
        <v>1452</v>
      </c>
    </row>
    <row r="3">
      <c r="A3" s="4" t="inlineStr">
        <is>
          <t>Assets under construction (mainly Harrow Bay)</t>
        </is>
      </c>
      <c r="B3" s="5" t="n">
        <v>610</v>
      </c>
      <c r="C3" s="5" t="n">
        <v>318</v>
      </c>
    </row>
    <row r="4">
      <c r="A4" s="2" t="inlineStr">
        <is>
          <t>Intangible assets and development rights</t>
        </is>
      </c>
      <c r="B4" s="3" t="n">
        <v>45</v>
      </c>
      <c r="C4" s="3" t="n">
        <v>41</v>
      </c>
    </row>
    <row r="5">
      <c r="A5" s="4" t="inlineStr">
        <is>
          <t>Other non-current assets</t>
        </is>
      </c>
      <c r="B5" s="5" t="n">
        <v>60</v>
      </c>
      <c r="C5" s="5" t="n">
        <v>55</v>
      </c>
    </row>
    <row r="6">
      <c r="A6" s="2" t="inlineStr">
        <is>
          <t>Trade receivables</t>
        </is>
      </c>
      <c r="B6" s="3" t="n">
        <v>52</v>
      </c>
      <c r="C6" s="3" t="n">
        <v>47</v>
      </c>
    </row>
    <row r="7">
      <c r="A7" s="4" t="inlineStr">
        <is>
          <t>Cash and cash equivalents</t>
        </is>
      </c>
      <c r="B7" s="5" t="n">
        <v>186</v>
      </c>
      <c r="C7" s="5" t="n">
        <v>169</v>
      </c>
    </row>
    <row r="8">
      <c r="A8" s="2" t="inlineStr">
        <is>
          <t>Other current assets</t>
        </is>
      </c>
      <c r="B8" s="3" t="n">
        <v>37</v>
      </c>
      <c r="C8" s="3" t="n">
        <v>33</v>
      </c>
    </row>
    <row r="9">
      <c r="A9" s="4" t="inlineStr">
        <is>
          <t>Total assets</t>
        </is>
      </c>
      <c r="B9" s="5">
        <f>SUM(B2:B8)</f>
        <v/>
      </c>
      <c r="C9" s="5">
        <f>SUM(C2:C8)</f>
        <v/>
      </c>
    </row>
    <row r="10">
      <c r="A10" s="2" t="inlineStr">
        <is>
          <t>Equity</t>
        </is>
      </c>
      <c r="B10" s="3" t="n">
        <v>820</v>
      </c>
      <c r="C10" s="3" t="n">
        <v>596</v>
      </c>
    </row>
    <row r="11">
      <c r="A11" s="4" t="inlineStr">
        <is>
          <t>Financial liabilities (project and corporate debt)</t>
        </is>
      </c>
      <c r="B11" s="5" t="n">
        <v>1290</v>
      </c>
      <c r="C11" s="5" t="n">
        <v>1188</v>
      </c>
    </row>
    <row r="12">
      <c r="A12" s="2" t="inlineStr">
        <is>
          <t>Provisions (incl. decommissioning)</t>
        </is>
      </c>
      <c r="B12" s="3" t="n">
        <v>95</v>
      </c>
      <c r="C12" s="3" t="n">
        <v>88</v>
      </c>
    </row>
    <row r="13">
      <c r="A13" s="4" t="inlineStr">
        <is>
          <t>Other liabilities</t>
        </is>
      </c>
      <c r="B13" s="5" t="n">
        <v>265</v>
      </c>
      <c r="C13" s="5" t="n">
        <v>243</v>
      </c>
    </row>
    <row r="14">
      <c r="A14" s="2" t="inlineStr">
        <is>
          <t>Total equity and liabilities</t>
        </is>
      </c>
      <c r="B14" s="3">
        <f>SUM(B10:B13)</f>
        <v/>
      </c>
      <c r="C14" s="3">
        <f>SUM(C10:C13)</f>
        <v/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</cols>
  <sheetData>
    <row r="1">
      <c r="A1" s="1" t="inlineStr">
        <is>
          <t>EUR m</t>
        </is>
      </c>
      <c r="B1" s="1" t="inlineStr">
        <is>
          <t>2025</t>
        </is>
      </c>
      <c r="C1" s="1" t="inlineStr">
        <is>
          <t>2024</t>
        </is>
      </c>
    </row>
    <row r="2">
      <c r="A2" s="2" t="inlineStr">
        <is>
          <t>EBITDA</t>
        </is>
      </c>
      <c r="B2" s="3" t="n">
        <v>148</v>
      </c>
      <c r="C2" s="3" t="n">
        <v>126</v>
      </c>
    </row>
    <row r="3">
      <c r="A3" s="4" t="inlineStr">
        <is>
          <t>Change in working capital</t>
        </is>
      </c>
      <c r="B3" s="5" t="n">
        <v>-3</v>
      </c>
      <c r="C3" s="5" t="n">
        <v>-4</v>
      </c>
    </row>
    <row r="4">
      <c r="A4" s="2" t="inlineStr">
        <is>
          <t>Income taxes paid</t>
        </is>
      </c>
      <c r="B4" s="3" t="n">
        <v>-8</v>
      </c>
      <c r="C4" s="3" t="n">
        <v>-6</v>
      </c>
    </row>
    <row r="5">
      <c r="A5" s="4" t="inlineStr">
        <is>
          <t>Other non-cash items</t>
        </is>
      </c>
      <c r="B5" s="5" t="n">
        <v>-6</v>
      </c>
      <c r="C5" s="5" t="n">
        <v>-3</v>
      </c>
    </row>
    <row r="6">
      <c r="A6" s="2" t="inlineStr">
        <is>
          <t>Cash flow from operating activities</t>
        </is>
      </c>
      <c r="B6" s="3" t="n">
        <v>131</v>
      </c>
      <c r="C6" s="3" t="n">
        <v>113</v>
      </c>
    </row>
    <row r="7">
      <c r="A7" s="4" t="inlineStr">
        <is>
          <t>Capital expenditure (incl. Harrow Bay pre-FID)</t>
        </is>
      </c>
      <c r="B7" s="5" t="n">
        <v>-398</v>
      </c>
      <c r="C7" s="5" t="n">
        <v>-248</v>
      </c>
    </row>
    <row r="8">
      <c r="A8" s="2" t="inlineStr">
        <is>
          <t>Development spend and other investments</t>
        </is>
      </c>
      <c r="B8" s="3" t="n">
        <v>-14</v>
      </c>
      <c r="C8" s="3" t="n">
        <v>-18</v>
      </c>
    </row>
    <row r="9">
      <c r="A9" s="4" t="inlineStr">
        <is>
          <t>Cash flow from investing activities</t>
        </is>
      </c>
      <c r="B9" s="5" t="n">
        <v>-412</v>
      </c>
      <c r="C9" s="5" t="n">
        <v>-266</v>
      </c>
    </row>
    <row r="10">
      <c r="A10" s="2" t="inlineStr">
        <is>
          <t>Equity contribution from shareholders</t>
        </is>
      </c>
      <c r="B10" s="3" t="n">
        <v>210</v>
      </c>
      <c r="C10" s="3" t="n">
        <v>0</v>
      </c>
    </row>
    <row r="11">
      <c r="A11" s="4" t="inlineStr">
        <is>
          <t>Drawdown / (repayment) of borrowings, net</t>
        </is>
      </c>
      <c r="B11" s="5" t="n">
        <v>120</v>
      </c>
      <c r="C11" s="5" t="n">
        <v>151</v>
      </c>
    </row>
    <row r="12">
      <c r="A12" s="2" t="inlineStr">
        <is>
          <t>Interest paid</t>
        </is>
      </c>
      <c r="B12" s="3" t="n">
        <v>-28</v>
      </c>
      <c r="C12" s="3" t="n">
        <v>-26</v>
      </c>
    </row>
    <row r="13">
      <c r="A13" s="4" t="inlineStr">
        <is>
          <t>Dividends and other</t>
        </is>
      </c>
      <c r="B13" s="5" t="n">
        <v>-4</v>
      </c>
      <c r="C13" s="5" t="n">
        <v>0</v>
      </c>
    </row>
    <row r="14">
      <c r="A14" s="2" t="inlineStr">
        <is>
          <t>Cash flow from financing activities</t>
        </is>
      </c>
      <c r="B14" s="3" t="n">
        <v>298</v>
      </c>
      <c r="C14" s="3" t="n">
        <v>125</v>
      </c>
    </row>
    <row r="15">
      <c r="A15" s="4" t="inlineStr">
        <is>
          <t>Net change in cash</t>
        </is>
      </c>
      <c r="B15" s="5" t="n">
        <v>17</v>
      </c>
      <c r="C15" s="5" t="n">
        <v>-28</v>
      </c>
    </row>
    <row r="16">
      <c r="A16" s="2" t="inlineStr">
        <is>
          <t>Cash at 1 January</t>
        </is>
      </c>
      <c r="B16" s="3" t="n">
        <v>169</v>
      </c>
      <c r="C16" s="3" t="n">
        <v>197</v>
      </c>
    </row>
    <row r="17">
      <c r="A17" s="4" t="inlineStr">
        <is>
          <t>Cash at 31 December</t>
        </is>
      </c>
      <c r="B17" s="5" t="n">
        <v>186</v>
      </c>
      <c r="C17" s="5" t="n">
        <v>169</v>
      </c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Segment 2025 (EUR m)</t>
        </is>
      </c>
      <c r="B1" s="1" t="inlineStr">
        <is>
          <t>Revenue</t>
        </is>
      </c>
      <c r="C1" s="1" t="inlineStr">
        <is>
          <t>EBITDA</t>
        </is>
      </c>
      <c r="D1" s="1" t="inlineStr">
        <is>
          <t>Capex</t>
        </is>
      </c>
      <c r="E1" s="1" t="inlineStr">
        <is>
          <t>Assets</t>
        </is>
      </c>
    </row>
    <row r="2">
      <c r="A2" s="2" t="inlineStr">
        <is>
          <t>Onshore wind</t>
        </is>
      </c>
      <c r="B2" s="3" t="n">
        <v>148.2</v>
      </c>
      <c r="C2" s="3" t="n">
        <v>79.59999999999999</v>
      </c>
      <c r="D2" s="3" t="n">
        <v>19.4</v>
      </c>
      <c r="E2" s="3" t="n">
        <v>1012</v>
      </c>
    </row>
    <row r="3">
      <c r="A3" s="4" t="inlineStr">
        <is>
          <t>Offshore wind (incl. Harrow Bay)</t>
        </is>
      </c>
      <c r="B3" s="5" t="n">
        <v>104.6</v>
      </c>
      <c r="C3" s="5" t="n">
        <v>54.1</v>
      </c>
      <c r="D3" s="5" t="n">
        <v>352.8</v>
      </c>
      <c r="E3" s="5" t="n">
        <v>1084</v>
      </c>
    </row>
    <row r="4">
      <c r="A4" s="2" t="inlineStr">
        <is>
          <t>Solar and storage</t>
        </is>
      </c>
      <c r="B4" s="3" t="n">
        <v>48.2</v>
      </c>
      <c r="C4" s="3" t="n">
        <v>23</v>
      </c>
      <c r="D4" s="3" t="n">
        <v>9.6</v>
      </c>
      <c r="E4" s="3" t="n">
        <v>214</v>
      </c>
    </row>
    <row r="5">
      <c r="A5" s="4" t="inlineStr">
        <is>
          <t>Services and corporate</t>
        </is>
      </c>
      <c r="B5" s="5" t="n">
        <v>11</v>
      </c>
      <c r="C5" s="5" t="n">
        <v>-8.699999999999999</v>
      </c>
      <c r="D5" s="5" t="n">
        <v>2.2</v>
      </c>
      <c r="E5" s="5" t="n">
        <v>160</v>
      </c>
    </row>
    <row r="6">
      <c r="A6" s="2" t="inlineStr">
        <is>
          <t>Group</t>
        </is>
      </c>
      <c r="B6" s="3">
        <f>SUM(B2:B5)</f>
        <v/>
      </c>
      <c r="C6" s="3">
        <f>SUM(C2:C5)</f>
        <v/>
      </c>
      <c r="D6" s="3">
        <f>SUM(D2:D5)</f>
        <v/>
      </c>
      <c r="E6" s="3">
        <f>SUM(E2:E5)</f>
        <v/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9" customWidth="1" min="2" max="2"/>
    <col width="9" customWidth="1" min="3" max="3"/>
  </cols>
  <sheetData>
    <row r="1">
      <c r="A1" s="1" t="inlineStr">
        <is>
          <t>EUR m</t>
        </is>
      </c>
      <c r="B1" s="1" t="inlineStr">
        <is>
          <t>2025</t>
        </is>
      </c>
      <c r="C1" s="1" t="inlineStr">
        <is>
          <t>2024</t>
        </is>
      </c>
    </row>
    <row r="2">
      <c r="A2" s="2" t="inlineStr">
        <is>
          <t>Electricity sales (merchant and PPA)</t>
        </is>
      </c>
      <c r="B2" s="3" t="n">
        <v>241</v>
      </c>
      <c r="C2" s="3" t="n">
        <v>214</v>
      </c>
    </row>
    <row r="3">
      <c r="A3" s="4" t="inlineStr">
        <is>
          <t>Contracts for difference / feed-in support</t>
        </is>
      </c>
      <c r="B3" s="5" t="n">
        <v>38</v>
      </c>
      <c r="C3" s="5" t="n">
        <v>34</v>
      </c>
    </row>
    <row r="4">
      <c r="A4" s="2" t="inlineStr">
        <is>
          <t>Guarantees of origin and REGOs</t>
        </is>
      </c>
      <c r="B4" s="3" t="n">
        <v>17</v>
      </c>
      <c r="C4" s="3" t="n">
        <v>14</v>
      </c>
    </row>
    <row r="5">
      <c r="A5" s="4" t="inlineStr">
        <is>
          <t>Asset management and O&amp;M services for third parties</t>
        </is>
      </c>
      <c r="B5" s="5" t="n">
        <v>11</v>
      </c>
      <c r="C5" s="5" t="n">
        <v>9</v>
      </c>
    </row>
    <row r="6">
      <c r="A6" s="2" t="inlineStr">
        <is>
          <t>Other revenue</t>
        </is>
      </c>
      <c r="B6" s="3" t="n">
        <v>5</v>
      </c>
      <c r="C6" s="3" t="n">
        <v>5</v>
      </c>
    </row>
    <row r="7">
      <c r="A7" s="4" t="inlineStr">
        <is>
          <t>Total</t>
        </is>
      </c>
      <c r="B7" s="5">
        <f>SUM(B2:B6)</f>
        <v/>
      </c>
      <c r="C7" s="5">
        <f>SUM(C2:C6)</f>
        <v/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2026-02-04T10:00:00Z</dcterms:created>
  <dcterms:modified xmlns:dcterms="http://purl.org/dc/terms/" xmlns:xsi="http://www.w3.org/2001/XMLSchema-instance" xsi:type="dcterms:W3CDTF">2026-10-04T19:30:18Z</dcterms:modified>
  <cp:lastModifiedBy>Marcus Bell</cp:lastModifiedBy>
</cp:coreProperties>
</file>