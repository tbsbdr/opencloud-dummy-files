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Definitions" sheetId="3" state="visible" r:id="rId3"/>
  </sheets>
  <definedNames>
    <definedName name="_xlnm._FilterDatabase" localSheetId="0" hidden="1">'Monthly'!$A$1:$O$22</definedName>
    <definedName name="_xlnm._FilterDatabase" localSheetId="1" hidden="1">'Annual summary'!$A$1:$D$8</definedName>
    <definedName name="_xlnm._FilterDatabase" localSheetId="2" hidden="1">'Definitions'!$A$1:$B$7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3" fontId="1" fillId="0" borderId="1" pivotButton="0" quotePrefix="0" xfId="0"/>
    <xf numFmtId="2" fontId="1" fillId="0" borderId="1" pivotButton="0" quotePrefix="0" xfId="0"/>
    <xf numFmtId="0" fontId="1" fillId="3" borderId="1" pivotButton="0" quotePrefix="0" xfId="0"/>
    <xf numFmtId="3" fontId="1" fillId="3" borderId="1" pivotButton="0" quotePrefix="0" xfId="0"/>
    <xf numFmtId="2" fontId="1" fillId="3" borderId="1" pivotButton="0" quotePrefix="0" xfId="0"/>
    <xf numFmtId="164" fontId="1" fillId="0" borderId="1" pivotButton="0" quotePrefix="0" xfId="0"/>
    <xf numFmtId="16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6" customWidth="1" min="4" max="4"/>
    <col width="18" customWidth="1" min="5" max="5"/>
    <col width="12" customWidth="1" min="6" max="6"/>
    <col width="6" customWidth="1" min="7" max="7"/>
    <col width="10" customWidth="1" min="8" max="8"/>
    <col width="9" customWidth="1" min="9" max="9"/>
    <col width="10" customWidth="1" min="10" max="10"/>
    <col width="12" customWidth="1" min="11" max="11"/>
    <col width="9" customWidth="1" min="12" max="12"/>
    <col width="9" customWidth="1" min="13" max="13"/>
    <col width="12" customWidth="1" min="14" max="14"/>
    <col width="12" customWidth="1" min="15" max="15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Hours employees</t>
        </is>
      </c>
      <c r="D1" s="1" t="inlineStr">
        <is>
          <t>Hours O&amp;M contractors</t>
        </is>
      </c>
      <c r="E1" s="1" t="inlineStr">
        <is>
          <t>Hours Harrow Bay contractors</t>
        </is>
      </c>
      <c r="F1" s="1" t="inlineStr">
        <is>
          <t>Total hours</t>
        </is>
      </c>
      <c r="G1" s="1" t="inlineStr">
        <is>
          <t>LTI</t>
        </is>
      </c>
      <c r="H1" s="1" t="inlineStr">
        <is>
          <t>Recordable injuries</t>
        </is>
      </c>
      <c r="I1" s="1" t="inlineStr">
        <is>
          <t>First aid</t>
        </is>
      </c>
      <c r="J1" s="1" t="inlineStr">
        <is>
          <t>Near misses</t>
        </is>
      </c>
      <c r="K1" s="1" t="inlineStr">
        <is>
          <t>Safety observations</t>
        </is>
      </c>
      <c r="L1" s="1" t="inlineStr">
        <is>
          <t>HiPo events</t>
        </is>
      </c>
      <c r="M1" s="1" t="inlineStr">
        <is>
          <t>Env. incidents</t>
        </is>
      </c>
      <c r="N1" s="1" t="inlineStr">
        <is>
          <t>LTIFR rolling 12m</t>
        </is>
      </c>
      <c r="O1" s="1" t="inlineStr">
        <is>
          <t>TRIR rolling 12m</t>
        </is>
      </c>
    </row>
    <row r="2">
      <c r="A2" s="2" t="n">
        <v>2025</v>
      </c>
      <c r="B2" s="2" t="inlineStr">
        <is>
          <t>Jan</t>
        </is>
      </c>
      <c r="C2" s="3" t="n">
        <v>67000</v>
      </c>
      <c r="D2" s="3" t="n">
        <v>43000</v>
      </c>
      <c r="E2" s="3" t="n">
        <v>8000</v>
      </c>
      <c r="F2" s="3">
        <f>C2+D2+E2</f>
        <v/>
      </c>
      <c r="G2" s="2" t="n">
        <v>0</v>
      </c>
      <c r="H2" s="2" t="n">
        <v>0</v>
      </c>
      <c r="I2" s="2" t="n">
        <v>2</v>
      </c>
      <c r="J2" s="2" t="n">
        <v>26</v>
      </c>
      <c r="K2" s="2" t="n">
        <v>176</v>
      </c>
      <c r="L2" s="2" t="n">
        <v>0</v>
      </c>
      <c r="M2" s="2" t="n">
        <v>0</v>
      </c>
      <c r="N2" s="4" t="n">
        <v>0</v>
      </c>
      <c r="O2" s="4" t="n">
        <v>0</v>
      </c>
    </row>
    <row r="3">
      <c r="A3" s="5" t="n">
        <v>2025</v>
      </c>
      <c r="B3" s="5" t="inlineStr">
        <is>
          <t>Feb</t>
        </is>
      </c>
      <c r="C3" s="6" t="n">
        <v>64000</v>
      </c>
      <c r="D3" s="6" t="n">
        <v>36000</v>
      </c>
      <c r="E3" s="6" t="n">
        <v>9000</v>
      </c>
      <c r="F3" s="6">
        <f>C3+D3+E3</f>
        <v/>
      </c>
      <c r="G3" s="5" t="n">
        <v>0</v>
      </c>
      <c r="H3" s="5" t="n">
        <v>0</v>
      </c>
      <c r="I3" s="5" t="n">
        <v>6</v>
      </c>
      <c r="J3" s="5" t="n">
        <v>24</v>
      </c>
      <c r="K3" s="5" t="n">
        <v>190</v>
      </c>
      <c r="L3" s="5" t="n">
        <v>0</v>
      </c>
      <c r="M3" s="5" t="n">
        <v>0</v>
      </c>
      <c r="N3" s="7" t="n">
        <v>0</v>
      </c>
      <c r="O3" s="7" t="n">
        <v>0</v>
      </c>
    </row>
    <row r="4">
      <c r="A4" s="2" t="n">
        <v>2025</v>
      </c>
      <c r="B4" s="2" t="inlineStr">
        <is>
          <t>Mar</t>
        </is>
      </c>
      <c r="C4" s="3" t="n">
        <v>61000</v>
      </c>
      <c r="D4" s="3" t="n">
        <v>37000</v>
      </c>
      <c r="E4" s="3" t="n">
        <v>11000</v>
      </c>
      <c r="F4" s="3">
        <f>C4+D4+E4</f>
        <v/>
      </c>
      <c r="G4" s="2" t="n">
        <v>1</v>
      </c>
      <c r="H4" s="2" t="n">
        <v>1</v>
      </c>
      <c r="I4" s="2" t="n">
        <v>2</v>
      </c>
      <c r="J4" s="2" t="n">
        <v>18</v>
      </c>
      <c r="K4" s="2" t="n">
        <v>218</v>
      </c>
      <c r="L4" s="2" t="n">
        <v>0</v>
      </c>
      <c r="M4" s="2" t="n">
        <v>0</v>
      </c>
      <c r="N4" s="4" t="n">
        <v>2.98</v>
      </c>
      <c r="O4" s="4" t="n">
        <v>2.98</v>
      </c>
    </row>
    <row r="5">
      <c r="A5" s="5" t="n">
        <v>2025</v>
      </c>
      <c r="B5" s="5" t="inlineStr">
        <is>
          <t>Apr</t>
        </is>
      </c>
      <c r="C5" s="6" t="n">
        <v>62000</v>
      </c>
      <c r="D5" s="6" t="n">
        <v>40000</v>
      </c>
      <c r="E5" s="6" t="n">
        <v>12000</v>
      </c>
      <c r="F5" s="6">
        <f>C5+D5+E5</f>
        <v/>
      </c>
      <c r="G5" s="5" t="n">
        <v>0</v>
      </c>
      <c r="H5" s="5" t="n">
        <v>0</v>
      </c>
      <c r="I5" s="5" t="n">
        <v>6</v>
      </c>
      <c r="J5" s="5" t="n">
        <v>28</v>
      </c>
      <c r="K5" s="5" t="n">
        <v>181</v>
      </c>
      <c r="L5" s="5" t="n">
        <v>0</v>
      </c>
      <c r="M5" s="5" t="n">
        <v>0</v>
      </c>
      <c r="N5" s="7" t="n">
        <v>2.22</v>
      </c>
      <c r="O5" s="7" t="n">
        <v>2.22</v>
      </c>
    </row>
    <row r="6">
      <c r="A6" s="2" t="n">
        <v>2025</v>
      </c>
      <c r="B6" s="2" t="inlineStr">
        <is>
          <t>May</t>
        </is>
      </c>
      <c r="C6" s="3" t="n">
        <v>63000</v>
      </c>
      <c r="D6" s="3" t="n">
        <v>42000</v>
      </c>
      <c r="E6" s="3" t="n">
        <v>14000</v>
      </c>
      <c r="F6" s="3">
        <f>C6+D6+E6</f>
        <v/>
      </c>
      <c r="G6" s="2" t="n">
        <v>0</v>
      </c>
      <c r="H6" s="2" t="n">
        <v>1</v>
      </c>
      <c r="I6" s="2" t="n">
        <v>6</v>
      </c>
      <c r="J6" s="2" t="n">
        <v>29</v>
      </c>
      <c r="K6" s="2" t="n">
        <v>200</v>
      </c>
      <c r="L6" s="2" t="n">
        <v>0</v>
      </c>
      <c r="M6" s="2" t="n">
        <v>0</v>
      </c>
      <c r="N6" s="4" t="n">
        <v>1.76</v>
      </c>
      <c r="O6" s="4" t="n">
        <v>3.51</v>
      </c>
    </row>
    <row r="7">
      <c r="A7" s="5" t="n">
        <v>2025</v>
      </c>
      <c r="B7" s="5" t="inlineStr">
        <is>
          <t>Jun</t>
        </is>
      </c>
      <c r="C7" s="6" t="n">
        <v>65000</v>
      </c>
      <c r="D7" s="6" t="n">
        <v>40000</v>
      </c>
      <c r="E7" s="6" t="n">
        <v>16000</v>
      </c>
      <c r="F7" s="6">
        <f>C7+D7+E7</f>
        <v/>
      </c>
      <c r="G7" s="5" t="n">
        <v>0</v>
      </c>
      <c r="H7" s="5" t="n">
        <v>0</v>
      </c>
      <c r="I7" s="5" t="n">
        <v>4</v>
      </c>
      <c r="J7" s="5" t="n">
        <v>25</v>
      </c>
      <c r="K7" s="5" t="n">
        <v>207</v>
      </c>
      <c r="L7" s="5" t="n">
        <v>1</v>
      </c>
      <c r="M7" s="5" t="n">
        <v>0</v>
      </c>
      <c r="N7" s="7" t="n">
        <v>1.45</v>
      </c>
      <c r="O7" s="7" t="n">
        <v>2.9</v>
      </c>
    </row>
    <row r="8">
      <c r="A8" s="2" t="n">
        <v>2025</v>
      </c>
      <c r="B8" s="2" t="inlineStr">
        <is>
          <t>Jul</t>
        </is>
      </c>
      <c r="C8" s="3" t="n">
        <v>61000</v>
      </c>
      <c r="D8" s="3" t="n">
        <v>41000</v>
      </c>
      <c r="E8" s="3" t="n">
        <v>15000</v>
      </c>
      <c r="F8" s="3">
        <f>C8+D8+E8</f>
        <v/>
      </c>
      <c r="G8" s="2" t="n">
        <v>0</v>
      </c>
      <c r="H8" s="2" t="n">
        <v>1</v>
      </c>
      <c r="I8" s="2" t="n">
        <v>5</v>
      </c>
      <c r="J8" s="2" t="n">
        <v>21</v>
      </c>
      <c r="K8" s="2" t="n">
        <v>208</v>
      </c>
      <c r="L8" s="2" t="n">
        <v>0</v>
      </c>
      <c r="M8" s="2" t="n">
        <v>0</v>
      </c>
      <c r="N8" s="4" t="n">
        <v>1.24</v>
      </c>
      <c r="O8" s="4" t="n">
        <v>3.72</v>
      </c>
    </row>
    <row r="9">
      <c r="A9" s="5" t="n">
        <v>2025</v>
      </c>
      <c r="B9" s="5" t="inlineStr">
        <is>
          <t>Aug</t>
        </is>
      </c>
      <c r="C9" s="6" t="n">
        <v>67000</v>
      </c>
      <c r="D9" s="6" t="n">
        <v>41000</v>
      </c>
      <c r="E9" s="6" t="n">
        <v>18000</v>
      </c>
      <c r="F9" s="6">
        <f>C9+D9+E9</f>
        <v/>
      </c>
      <c r="G9" s="5" t="n">
        <v>0</v>
      </c>
      <c r="H9" s="5" t="n">
        <v>1</v>
      </c>
      <c r="I9" s="5" t="n">
        <v>3</v>
      </c>
      <c r="J9" s="5" t="n">
        <v>31</v>
      </c>
      <c r="K9" s="5" t="n">
        <v>189</v>
      </c>
      <c r="L9" s="5" t="n">
        <v>0</v>
      </c>
      <c r="M9" s="5" t="n">
        <v>0</v>
      </c>
      <c r="N9" s="7" t="n">
        <v>1.07</v>
      </c>
      <c r="O9" s="7" t="n">
        <v>4.29</v>
      </c>
    </row>
    <row r="10">
      <c r="A10" s="2" t="n">
        <v>2025</v>
      </c>
      <c r="B10" s="2" t="inlineStr">
        <is>
          <t>Sep</t>
        </is>
      </c>
      <c r="C10" s="3" t="n">
        <v>67000</v>
      </c>
      <c r="D10" s="3" t="n">
        <v>47000</v>
      </c>
      <c r="E10" s="3" t="n">
        <v>21000</v>
      </c>
      <c r="F10" s="3">
        <f>C10+D10+E10</f>
        <v/>
      </c>
      <c r="G10" s="2" t="n">
        <v>1</v>
      </c>
      <c r="H10" s="2" t="n">
        <v>1</v>
      </c>
      <c r="I10" s="2" t="n">
        <v>2</v>
      </c>
      <c r="J10" s="2" t="n">
        <v>19</v>
      </c>
      <c r="K10" s="2" t="n">
        <v>231</v>
      </c>
      <c r="L10" s="2" t="n">
        <v>0</v>
      </c>
      <c r="M10" s="2" t="n">
        <v>0</v>
      </c>
      <c r="N10" s="4" t="n">
        <v>1.87</v>
      </c>
      <c r="O10" s="4" t="n">
        <v>4.68</v>
      </c>
    </row>
    <row r="11">
      <c r="A11" s="5" t="n">
        <v>2025</v>
      </c>
      <c r="B11" s="5" t="inlineStr">
        <is>
          <t>Oct</t>
        </is>
      </c>
      <c r="C11" s="6" t="n">
        <v>64000</v>
      </c>
      <c r="D11" s="6" t="n">
        <v>41000</v>
      </c>
      <c r="E11" s="6" t="n">
        <v>22000</v>
      </c>
      <c r="F11" s="6">
        <f>C11+D11+E11</f>
        <v/>
      </c>
      <c r="G11" s="5" t="n">
        <v>0</v>
      </c>
      <c r="H11" s="5" t="n">
        <v>0</v>
      </c>
      <c r="I11" s="5" t="n">
        <v>2</v>
      </c>
      <c r="J11" s="5" t="n">
        <v>28</v>
      </c>
      <c r="K11" s="5" t="n">
        <v>179</v>
      </c>
      <c r="L11" s="5" t="n">
        <v>0</v>
      </c>
      <c r="M11" s="5" t="n">
        <v>1</v>
      </c>
      <c r="N11" s="7" t="n">
        <v>1.67</v>
      </c>
      <c r="O11" s="7" t="n">
        <v>4.18</v>
      </c>
    </row>
    <row r="12">
      <c r="A12" s="2" t="n">
        <v>2025</v>
      </c>
      <c r="B12" s="2" t="inlineStr">
        <is>
          <t>Nov</t>
        </is>
      </c>
      <c r="C12" s="3" t="n">
        <v>66000</v>
      </c>
      <c r="D12" s="3" t="n">
        <v>42000</v>
      </c>
      <c r="E12" s="3" t="n">
        <v>24000</v>
      </c>
      <c r="F12" s="3">
        <f>C12+D12+E12</f>
        <v/>
      </c>
      <c r="G12" s="2" t="n">
        <v>0</v>
      </c>
      <c r="H12" s="2" t="n">
        <v>1</v>
      </c>
      <c r="I12" s="2" t="n">
        <v>2</v>
      </c>
      <c r="J12" s="2" t="n">
        <v>29</v>
      </c>
      <c r="K12" s="2" t="n">
        <v>231</v>
      </c>
      <c r="L12" s="2" t="n">
        <v>0</v>
      </c>
      <c r="M12" s="2" t="n">
        <v>0</v>
      </c>
      <c r="N12" s="4" t="n">
        <v>1.51</v>
      </c>
      <c r="O12" s="4" t="n">
        <v>4.52</v>
      </c>
    </row>
    <row r="13">
      <c r="A13" s="5" t="n">
        <v>2025</v>
      </c>
      <c r="B13" s="5" t="inlineStr">
        <is>
          <t>Dec</t>
        </is>
      </c>
      <c r="C13" s="6" t="n">
        <v>63000</v>
      </c>
      <c r="D13" s="6" t="n">
        <v>43000</v>
      </c>
      <c r="E13" s="6" t="n">
        <v>19000</v>
      </c>
      <c r="F13" s="6">
        <f>C13+D13+E13</f>
        <v/>
      </c>
      <c r="G13" s="5" t="n">
        <v>0</v>
      </c>
      <c r="H13" s="5" t="n">
        <v>0</v>
      </c>
      <c r="I13" s="5" t="n">
        <v>5</v>
      </c>
      <c r="J13" s="5" t="n">
        <v>29</v>
      </c>
      <c r="K13" s="5" t="n">
        <v>210</v>
      </c>
      <c r="L13" s="5" t="n">
        <v>0</v>
      </c>
      <c r="M13" s="5" t="n">
        <v>0</v>
      </c>
      <c r="N13" s="7" t="n">
        <v>1.38</v>
      </c>
      <c r="O13" s="7" t="n">
        <v>4.13</v>
      </c>
    </row>
    <row r="14">
      <c r="A14" s="2" t="n">
        <v>2026</v>
      </c>
      <c r="B14" s="2" t="inlineStr">
        <is>
          <t>Jan</t>
        </is>
      </c>
      <c r="C14" s="3" t="n">
        <v>61000</v>
      </c>
      <c r="D14" s="3" t="n">
        <v>37000</v>
      </c>
      <c r="E14" s="3" t="n">
        <v>28000</v>
      </c>
      <c r="F14" s="3">
        <f>C14+D14+E14</f>
        <v/>
      </c>
      <c r="G14" s="2" t="n">
        <v>0</v>
      </c>
      <c r="H14" s="2" t="n">
        <v>0</v>
      </c>
      <c r="I14" s="2" t="n">
        <v>5</v>
      </c>
      <c r="J14" s="2" t="n">
        <v>28</v>
      </c>
      <c r="K14" s="2" t="n">
        <v>200</v>
      </c>
      <c r="L14" s="2" t="n">
        <v>0</v>
      </c>
      <c r="M14" s="2" t="n">
        <v>1</v>
      </c>
      <c r="N14" s="4" t="n">
        <v>1.37</v>
      </c>
      <c r="O14" s="4" t="n">
        <v>4.11</v>
      </c>
    </row>
    <row r="15">
      <c r="A15" s="5" t="n">
        <v>2026</v>
      </c>
      <c r="B15" s="5" t="inlineStr">
        <is>
          <t>Feb</t>
        </is>
      </c>
      <c r="C15" s="6" t="n">
        <v>62000</v>
      </c>
      <c r="D15" s="6" t="n">
        <v>35000</v>
      </c>
      <c r="E15" s="6" t="n">
        <v>31000</v>
      </c>
      <c r="F15" s="6">
        <f>C15+D15+E15</f>
        <v/>
      </c>
      <c r="G15" s="5" t="n">
        <v>0</v>
      </c>
      <c r="H15" s="5" t="n">
        <v>1</v>
      </c>
      <c r="I15" s="5" t="n">
        <v>5</v>
      </c>
      <c r="J15" s="5" t="n">
        <v>28</v>
      </c>
      <c r="K15" s="5" t="n">
        <v>226</v>
      </c>
      <c r="L15" s="5" t="n">
        <v>0</v>
      </c>
      <c r="M15" s="5" t="n">
        <v>0</v>
      </c>
      <c r="N15" s="7" t="n">
        <v>1.35</v>
      </c>
      <c r="O15" s="7" t="n">
        <v>4.73</v>
      </c>
    </row>
    <row r="16">
      <c r="A16" s="2" t="n">
        <v>2026</v>
      </c>
      <c r="B16" s="2" t="inlineStr">
        <is>
          <t>Mar</t>
        </is>
      </c>
      <c r="C16" s="3" t="n">
        <v>63000</v>
      </c>
      <c r="D16" s="3" t="n">
        <v>43000</v>
      </c>
      <c r="E16" s="3" t="n">
        <v>44000</v>
      </c>
      <c r="F16" s="3">
        <f>C16+D16+E16</f>
        <v/>
      </c>
      <c r="G16" s="2" t="n">
        <v>1</v>
      </c>
      <c r="H16" s="2" t="n">
        <v>1</v>
      </c>
      <c r="I16" s="2" t="n">
        <v>4</v>
      </c>
      <c r="J16" s="2" t="n">
        <v>32</v>
      </c>
      <c r="K16" s="2" t="n">
        <v>221</v>
      </c>
      <c r="L16" s="2" t="n">
        <v>0</v>
      </c>
      <c r="M16" s="2" t="n">
        <v>0</v>
      </c>
      <c r="N16" s="4" t="n">
        <v>1.32</v>
      </c>
      <c r="O16" s="4" t="n">
        <v>4.61</v>
      </c>
    </row>
    <row r="17">
      <c r="A17" s="5" t="n">
        <v>2026</v>
      </c>
      <c r="B17" s="5" t="inlineStr">
        <is>
          <t>Apr</t>
        </is>
      </c>
      <c r="C17" s="6" t="n">
        <v>66000</v>
      </c>
      <c r="D17" s="6" t="n">
        <v>33000</v>
      </c>
      <c r="E17" s="6" t="n">
        <v>118000</v>
      </c>
      <c r="F17" s="6">
        <f>C17+D17+E17</f>
        <v/>
      </c>
      <c r="G17" s="5" t="n">
        <v>0</v>
      </c>
      <c r="H17" s="5" t="n">
        <v>1</v>
      </c>
      <c r="I17" s="5" t="n">
        <v>4</v>
      </c>
      <c r="J17" s="5" t="n">
        <v>33</v>
      </c>
      <c r="K17" s="5" t="n">
        <v>286</v>
      </c>
      <c r="L17" s="5" t="n">
        <v>0</v>
      </c>
      <c r="M17" s="5" t="n">
        <v>0</v>
      </c>
      <c r="N17" s="7" t="n">
        <v>1.23</v>
      </c>
      <c r="O17" s="7" t="n">
        <v>4.93</v>
      </c>
    </row>
    <row r="18">
      <c r="A18" s="2" t="n">
        <v>2026</v>
      </c>
      <c r="B18" s="2" t="inlineStr">
        <is>
          <t>May</t>
        </is>
      </c>
      <c r="C18" s="3" t="n">
        <v>63000</v>
      </c>
      <c r="D18" s="3" t="n">
        <v>38000</v>
      </c>
      <c r="E18" s="3" t="n">
        <v>162000</v>
      </c>
      <c r="F18" s="3">
        <f>C18+D18+E18</f>
        <v/>
      </c>
      <c r="G18" s="2" t="n">
        <v>0</v>
      </c>
      <c r="H18" s="2" t="n">
        <v>1</v>
      </c>
      <c r="I18" s="2" t="n">
        <v>4</v>
      </c>
      <c r="J18" s="2" t="n">
        <v>38</v>
      </c>
      <c r="K18" s="2" t="n">
        <v>355</v>
      </c>
      <c r="L18" s="2" t="n">
        <v>0</v>
      </c>
      <c r="M18" s="2" t="n">
        <v>0</v>
      </c>
      <c r="N18" s="4" t="n">
        <v>1.13</v>
      </c>
      <c r="O18" s="4" t="n">
        <v>4.53</v>
      </c>
    </row>
    <row r="19">
      <c r="A19" s="5" t="n">
        <v>2026</v>
      </c>
      <c r="B19" s="5" t="inlineStr">
        <is>
          <t>Jun</t>
        </is>
      </c>
      <c r="C19" s="6" t="n">
        <v>67000</v>
      </c>
      <c r="D19" s="6" t="n">
        <v>42000</v>
      </c>
      <c r="E19" s="6" t="n">
        <v>178000</v>
      </c>
      <c r="F19" s="6">
        <f>C19+D19+E19</f>
        <v/>
      </c>
      <c r="G19" s="5" t="n">
        <v>0</v>
      </c>
      <c r="H19" s="5" t="n">
        <v>1</v>
      </c>
      <c r="I19" s="5" t="n">
        <v>8</v>
      </c>
      <c r="J19" s="5" t="n">
        <v>43</v>
      </c>
      <c r="K19" s="5" t="n">
        <v>381</v>
      </c>
      <c r="L19" s="5" t="n">
        <v>1</v>
      </c>
      <c r="M19" s="5" t="n">
        <v>0</v>
      </c>
      <c r="N19" s="7" t="n">
        <v>1.03</v>
      </c>
      <c r="O19" s="7" t="n">
        <v>4.66</v>
      </c>
    </row>
    <row r="20">
      <c r="A20" s="2" t="n">
        <v>2026</v>
      </c>
      <c r="B20" s="2" t="inlineStr">
        <is>
          <t>Jul</t>
        </is>
      </c>
      <c r="C20" s="3" t="n">
        <v>67000</v>
      </c>
      <c r="D20" s="3" t="n">
        <v>37000</v>
      </c>
      <c r="E20" s="3" t="n">
        <v>186000</v>
      </c>
      <c r="F20" s="3">
        <f>C20+D20+E20</f>
        <v/>
      </c>
      <c r="G20" s="2" t="n">
        <v>0</v>
      </c>
      <c r="H20" s="2" t="n">
        <v>1</v>
      </c>
      <c r="I20" s="2" t="n">
        <v>8</v>
      </c>
      <c r="J20" s="2" t="n">
        <v>33</v>
      </c>
      <c r="K20" s="2" t="n">
        <v>344</v>
      </c>
      <c r="L20" s="2" t="n">
        <v>0</v>
      </c>
      <c r="M20" s="2" t="n">
        <v>0</v>
      </c>
      <c r="N20" s="4" t="n">
        <v>0.95</v>
      </c>
      <c r="O20" s="4" t="n">
        <v>4.27</v>
      </c>
    </row>
    <row r="21">
      <c r="A21" s="5" t="n">
        <v>2026</v>
      </c>
      <c r="B21" s="5" t="inlineStr">
        <is>
          <t>Aug</t>
        </is>
      </c>
      <c r="C21" s="6" t="n">
        <v>63000</v>
      </c>
      <c r="D21" s="6" t="n">
        <v>40000</v>
      </c>
      <c r="E21" s="6" t="n">
        <v>191000</v>
      </c>
      <c r="F21" s="6">
        <f>C21+D21+E21</f>
        <v/>
      </c>
      <c r="G21" s="5" t="n">
        <v>0</v>
      </c>
      <c r="H21" s="5" t="n">
        <v>1</v>
      </c>
      <c r="I21" s="5" t="n">
        <v>7</v>
      </c>
      <c r="J21" s="5" t="n">
        <v>41</v>
      </c>
      <c r="K21" s="5" t="n">
        <v>331</v>
      </c>
      <c r="L21" s="5" t="n">
        <v>0</v>
      </c>
      <c r="M21" s="5" t="n">
        <v>1</v>
      </c>
      <c r="N21" s="7" t="n">
        <v>0.88</v>
      </c>
      <c r="O21" s="7" t="n">
        <v>3.96</v>
      </c>
    </row>
    <row r="22">
      <c r="A22" s="2" t="n">
        <v>2026</v>
      </c>
      <c r="B22" s="2" t="inlineStr">
        <is>
          <t>Sep</t>
        </is>
      </c>
      <c r="C22" s="3" t="n">
        <v>66000</v>
      </c>
      <c r="D22" s="3" t="n">
        <v>40000</v>
      </c>
      <c r="E22" s="3" t="n">
        <v>184000</v>
      </c>
      <c r="F22" s="3">
        <f>C22+D22+E22</f>
        <v/>
      </c>
      <c r="G22" s="2" t="n">
        <v>0</v>
      </c>
      <c r="H22" s="2" t="n">
        <v>0</v>
      </c>
      <c r="I22" s="2" t="n">
        <v>4</v>
      </c>
      <c r="J22" s="2" t="n">
        <v>43</v>
      </c>
      <c r="K22" s="2" t="n">
        <v>373</v>
      </c>
      <c r="L22" s="2" t="n">
        <v>0</v>
      </c>
      <c r="M22" s="2" t="n">
        <v>0</v>
      </c>
      <c r="N22" s="4" t="n">
        <v>0.41</v>
      </c>
      <c r="O22" s="4" t="n">
        <v>3.29</v>
      </c>
    </row>
  </sheetData>
  <autoFilter ref="A1:O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24" customWidth="1" min="4" max="4"/>
  </cols>
  <sheetData>
    <row r="1">
      <c r="A1" s="1" t="inlineStr">
        <is>
          <t>KPI</t>
        </is>
      </c>
      <c r="B1" s="1" t="inlineStr">
        <is>
          <t>2025</t>
        </is>
      </c>
      <c r="C1" s="1" t="inlineStr">
        <is>
          <t>2026 YTD (Jan–Sep)</t>
        </is>
      </c>
      <c r="D1" s="1" t="inlineStr">
        <is>
          <t>Target 2026</t>
        </is>
      </c>
    </row>
    <row r="2">
      <c r="A2" s="2" t="inlineStr">
        <is>
          <t>Hours worked</t>
        </is>
      </c>
      <c r="B2" s="8" t="n">
        <v>1452000</v>
      </c>
      <c r="C2" s="8" t="n">
        <v>2045000</v>
      </c>
      <c r="D2" s="2" t="inlineStr"/>
    </row>
    <row r="3">
      <c r="A3" s="5" t="inlineStr">
        <is>
          <t>Lost time injuries</t>
        </is>
      </c>
      <c r="B3" s="9" t="n">
        <v>2</v>
      </c>
      <c r="C3" s="9" t="n">
        <v>1</v>
      </c>
      <c r="D3" s="5" t="n">
        <v>0</v>
      </c>
    </row>
    <row r="4">
      <c r="A4" s="2" t="inlineStr">
        <is>
          <t>Recordable injuries</t>
        </is>
      </c>
      <c r="B4" s="8" t="n">
        <v>6</v>
      </c>
      <c r="C4" s="8" t="n">
        <v>7</v>
      </c>
      <c r="D4" s="2" t="inlineStr">
        <is>
          <t>≤ 5</t>
        </is>
      </c>
    </row>
    <row r="5">
      <c r="A5" s="5" t="inlineStr">
        <is>
          <t>LTIFR (per 1 m hours)</t>
        </is>
      </c>
      <c r="B5" s="9" t="n">
        <v>1.38</v>
      </c>
      <c r="C5" s="9" t="n">
        <v>0.49</v>
      </c>
      <c r="D5" s="5" t="inlineStr">
        <is>
          <t>&lt; 1.0</t>
        </is>
      </c>
    </row>
    <row r="6">
      <c r="A6" s="2" t="inlineStr">
        <is>
          <t>TRIR (per 1 m hours)</t>
        </is>
      </c>
      <c r="B6" s="8" t="n">
        <v>4.13</v>
      </c>
      <c r="C6" s="8" t="n">
        <v>3.42</v>
      </c>
      <c r="D6" s="2" t="inlineStr">
        <is>
          <t>&lt; 3.5</t>
        </is>
      </c>
    </row>
    <row r="7">
      <c r="A7" s="5" t="inlineStr">
        <is>
          <t>Near misses reported</t>
        </is>
      </c>
      <c r="B7" s="9" t="n">
        <v>307</v>
      </c>
      <c r="C7" s="9" t="n">
        <v>319</v>
      </c>
      <c r="D7" s="5" t="inlineStr">
        <is>
          <t>&gt; 300 (reporting culture)</t>
        </is>
      </c>
    </row>
    <row r="8">
      <c r="A8" s="2" t="inlineStr">
        <is>
          <t>High-potential events</t>
        </is>
      </c>
      <c r="B8" s="8" t="n">
        <v>1</v>
      </c>
      <c r="C8" s="8" t="n">
        <v>1</v>
      </c>
      <c r="D8" s="2" t="inlineStr">
        <is>
          <t>–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LTI</t>
        </is>
      </c>
      <c r="B2" s="2" t="inlineStr">
        <is>
          <t>Work-related injury resulting in at least one full shift away from work after the day of the injury</t>
        </is>
      </c>
    </row>
    <row r="3">
      <c r="A3" s="5" t="inlineStr">
        <is>
          <t>Recordable</t>
        </is>
      </c>
      <c r="B3" s="5" t="inlineStr">
        <is>
          <t>LTI + restricted work case (RWC) + medical treatment case (MTC); excludes first aid</t>
        </is>
      </c>
    </row>
    <row r="4">
      <c r="A4" s="2" t="inlineStr">
        <is>
          <t>LTIFR</t>
        </is>
      </c>
      <c r="B4" s="2" t="inlineStr">
        <is>
          <t>LTI × 1,000,000 / hours worked</t>
        </is>
      </c>
    </row>
    <row r="5">
      <c r="A5" s="5" t="inlineStr">
        <is>
          <t>TRIR</t>
        </is>
      </c>
      <c r="B5" s="5" t="inlineStr">
        <is>
          <t>Recordable injuries × 1,000,000 / hours worked</t>
        </is>
      </c>
    </row>
    <row r="6">
      <c r="A6" s="2" t="inlineStr">
        <is>
          <t>Scope</t>
        </is>
      </c>
      <c r="B6" s="2" t="inlineStr">
        <is>
          <t>Weyland employees and all contractors on Weyland-controlled sites (operations + Harrow Bay construction)</t>
        </is>
      </c>
    </row>
    <row r="7">
      <c r="A7" s="5" t="inlineStr">
        <is>
          <t>HiPo</t>
        </is>
      </c>
      <c r="B7" s="5" t="inlineStr">
        <is>
          <t>High-potential event: could realistically have caused a fatality or life-changing injury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Hannah Weber</dc:creator>
  <dcterms:created xmlns:dcterms="http://purl.org/dc/terms/" xmlns:xsi="http://www.w3.org/2001/XMLSchema-instance" xsi:type="dcterms:W3CDTF">2025-01-08T10:00:00Z</dcterms:created>
  <dcterms:modified xmlns:dcterms="http://purl.org/dc/terms/" xmlns:xsi="http://www.w3.org/2001/XMLSchema-instance" xsi:type="dcterms:W3CDTF">2026-10-04T19:30:30Z</dcterms:modified>
  <cp:lastModifiedBy>Hannah Weber</cp:lastModifiedBy>
</cp:coreProperties>
</file>