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s" sheetId="1" state="visible" r:id="rId1"/>
    <sheet xmlns:r="http://schemas.openxmlformats.org/officeDocument/2006/relationships" name="Participation" sheetId="2" state="visible" r:id="rId2"/>
    <sheet xmlns:r="http://schemas.openxmlformats.org/officeDocument/2006/relationships" name="Sentiment" sheetId="3" state="visible" r:id="rId3"/>
    <sheet xmlns:r="http://schemas.openxmlformats.org/officeDocument/2006/relationships" name="By postcode (forms)" sheetId="4" state="visible" r:id="rId4"/>
  </sheets>
  <definedNames>
    <definedName name="_xlnm._FilterDatabase" localSheetId="0" hidden="1">'Themes'!$A$1:$F$11</definedName>
    <definedName name="_xlnm._FilterDatabase" localSheetId="1" hidden="1">'Participation'!$A$1:$H$4</definedName>
    <definedName name="_xlnm._FilterDatabase" localSheetId="2" hidden="1">'Sentiment'!$A$1:$D$4</definedName>
    <definedName name="_xlnm._FilterDatabase" localSheetId="3" hidden="1">'By postcode (forms)'!$A$1:$D$6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9" fontId="1" fillId="0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Theme</t>
        </is>
      </c>
      <c r="B1" s="1" t="inlineStr">
        <is>
          <t>Consultation #1</t>
        </is>
      </c>
      <c r="C1" s="1" t="inlineStr">
        <is>
          <t>Consultation #2</t>
        </is>
      </c>
      <c r="D1" s="1" t="inlineStr">
        <is>
          <t>Consultation #3</t>
        </is>
      </c>
      <c r="E1" s="1" t="inlineStr">
        <is>
          <t>Total</t>
        </is>
      </c>
      <c r="F1" s="1" t="inlineStr">
        <is>
          <t>Share of all mentions</t>
        </is>
      </c>
    </row>
    <row r="2">
      <c r="A2" s="2" t="inlineStr">
        <is>
          <t>Glare for nearby homes</t>
        </is>
      </c>
      <c r="B2" s="2" t="n">
        <v>38</v>
      </c>
      <c r="C2" s="2" t="n">
        <v>61</v>
      </c>
      <c r="D2" s="2" t="n">
        <v>29</v>
      </c>
      <c r="E2" s="2">
        <f>SUM(B2:D2)</f>
        <v/>
      </c>
      <c r="F2" s="3">
        <f>E2/$E$11</f>
        <v/>
      </c>
    </row>
    <row r="3">
      <c r="A3" s="4" t="inlineStr">
        <is>
          <t>Construction traffic on Mill Lane</t>
        </is>
      </c>
      <c r="B3" s="4" t="n">
        <v>44</v>
      </c>
      <c r="C3" s="4" t="n">
        <v>72</v>
      </c>
      <c r="D3" s="4" t="n">
        <v>58</v>
      </c>
      <c r="E3" s="4">
        <f>SUM(B3:D3)</f>
        <v/>
      </c>
      <c r="F3" s="5">
        <f>E3/$E$11</f>
        <v/>
      </c>
    </row>
    <row r="4">
      <c r="A4" s="2" t="inlineStr">
        <is>
          <t>Skylark nesting habitat</t>
        </is>
      </c>
      <c r="B4" s="2" t="n">
        <v>21</v>
      </c>
      <c r="C4" s="2" t="n">
        <v>39</v>
      </c>
      <c r="D4" s="2" t="n">
        <v>31</v>
      </c>
      <c r="E4" s="2">
        <f>SUM(B4:D4)</f>
        <v/>
      </c>
      <c r="F4" s="3">
        <f>E4/$E$11</f>
        <v/>
      </c>
    </row>
    <row r="5">
      <c r="A5" s="4" t="inlineStr">
        <is>
          <t>Visual impact from the public footpath</t>
        </is>
      </c>
      <c r="B5" s="4" t="n">
        <v>35</v>
      </c>
      <c r="C5" s="4" t="n">
        <v>47</v>
      </c>
      <c r="D5" s="4" t="n">
        <v>24</v>
      </c>
      <c r="E5" s="4">
        <f>SUM(B5:D5)</f>
        <v/>
      </c>
      <c r="F5" s="5">
        <f>E5/$E$11</f>
        <v/>
      </c>
    </row>
    <row r="6">
      <c r="A6" s="2" t="inlineStr">
        <is>
          <t>BESS fire safety</t>
        </is>
      </c>
      <c r="B6" s="2" t="n">
        <v>12</v>
      </c>
      <c r="C6" s="2" t="n">
        <v>33</v>
      </c>
      <c r="D6" s="2" t="n">
        <v>27</v>
      </c>
      <c r="E6" s="2">
        <f>SUM(B6:D6)</f>
        <v/>
      </c>
      <c r="F6" s="3">
        <f>E6/$E$11</f>
        <v/>
      </c>
    </row>
    <row r="7">
      <c r="A7" s="4" t="inlineStr">
        <is>
          <t>Loss of farmland / food production</t>
        </is>
      </c>
      <c r="B7" s="4" t="n">
        <v>18</v>
      </c>
      <c r="C7" s="4" t="n">
        <v>26</v>
      </c>
      <c r="D7" s="4" t="n">
        <v>14</v>
      </c>
      <c r="E7" s="4">
        <f>SUM(B7:D7)</f>
        <v/>
      </c>
      <c r="F7" s="5">
        <f>E7/$E$11</f>
        <v/>
      </c>
    </row>
    <row r="8">
      <c r="A8" s="2" t="inlineStr">
        <is>
          <t>Flood risk on Mill Brook</t>
        </is>
      </c>
      <c r="B8" s="2" t="n">
        <v>9</v>
      </c>
      <c r="C8" s="2" t="n">
        <v>14</v>
      </c>
      <c r="D8" s="2" t="n">
        <v>6</v>
      </c>
      <c r="E8" s="2">
        <f>SUM(B8:D8)</f>
        <v/>
      </c>
      <c r="F8" s="3">
        <f>E8/$E$11</f>
        <v/>
      </c>
    </row>
    <row r="9">
      <c r="A9" s="4" t="inlineStr">
        <is>
          <t>Community fund and local benefit</t>
        </is>
      </c>
      <c r="B9" s="4" t="n">
        <v>15</v>
      </c>
      <c r="C9" s="4" t="n">
        <v>41</v>
      </c>
      <c r="D9" s="4" t="n">
        <v>37</v>
      </c>
      <c r="E9" s="4">
        <f>SUM(B9:D9)</f>
        <v/>
      </c>
      <c r="F9" s="5">
        <f>E9/$E$11</f>
        <v/>
      </c>
    </row>
    <row r="10">
      <c r="A10" s="2" t="inlineStr">
        <is>
          <t>Support for local clean energy</t>
        </is>
      </c>
      <c r="B10" s="2" t="n">
        <v>31</v>
      </c>
      <c r="C10" s="2" t="n">
        <v>68</v>
      </c>
      <c r="D10" s="2" t="n">
        <v>59</v>
      </c>
      <c r="E10" s="2">
        <f>SUM(B10:D10)</f>
        <v/>
      </c>
      <c r="F10" s="3">
        <f>E10/$E$11</f>
        <v/>
      </c>
    </row>
    <row r="11">
      <c r="A11" s="4" t="inlineStr">
        <is>
          <t>Total</t>
        </is>
      </c>
      <c r="B11" s="4">
        <f>SUM(B2:B10)</f>
        <v/>
      </c>
      <c r="C11" s="4">
        <f>SUM(C2:C10)</f>
        <v/>
      </c>
      <c r="D11" s="4">
        <f>SUM(D2:D10)</f>
        <v/>
      </c>
      <c r="E11" s="4">
        <f>SUM(E2:E10)</f>
        <v/>
      </c>
      <c r="F11" s="5" t="inlineStr"/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1" customWidth="1" min="4" max="4"/>
    <col width="13" customWidth="1" min="5" max="5"/>
    <col width="9" customWidth="1" min="6" max="6"/>
    <col width="17" customWidth="1" min="7" max="7"/>
    <col width="15" customWidth="1" min="8" max="8"/>
  </cols>
  <sheetData>
    <row r="1">
      <c r="A1" s="1" t="inlineStr">
        <is>
          <t>Consultation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Attendees</t>
        </is>
      </c>
      <c r="E1" s="1" t="inlineStr">
        <is>
          <t>Paper forms</t>
        </is>
      </c>
      <c r="F1" s="1" t="inlineStr">
        <is>
          <t>Online</t>
        </is>
      </c>
      <c r="G1" s="1" t="inlineStr">
        <is>
          <t>Total responses</t>
        </is>
      </c>
      <c r="H1" s="1" t="inlineStr">
        <is>
          <t>Response rate</t>
        </is>
      </c>
    </row>
    <row r="2">
      <c r="A2" s="2" t="inlineStr">
        <is>
          <t>#1</t>
        </is>
      </c>
      <c r="B2" s="2" t="inlineStr">
        <is>
          <t>2026-03-11</t>
        </is>
      </c>
      <c r="C2" s="2" t="inlineStr">
        <is>
          <t>Millbrook Village Hall</t>
        </is>
      </c>
      <c r="D2" s="2" t="n">
        <v>164</v>
      </c>
      <c r="E2" s="2" t="n">
        <v>71</v>
      </c>
      <c r="F2" s="2" t="n">
        <v>26</v>
      </c>
      <c r="G2" s="2">
        <f>E2+F2</f>
        <v/>
      </c>
      <c r="H2" s="6">
        <f>E2/D2</f>
        <v/>
      </c>
    </row>
    <row r="3">
      <c r="A3" s="4" t="inlineStr">
        <is>
          <t>#2</t>
        </is>
      </c>
      <c r="B3" s="4" t="inlineStr">
        <is>
          <t>2026-05-20</t>
        </is>
      </c>
      <c r="C3" s="4" t="inlineStr">
        <is>
          <t>Millbrook Village Hall</t>
        </is>
      </c>
      <c r="D3" s="4" t="n">
        <v>212</v>
      </c>
      <c r="E3" s="4" t="n">
        <v>138</v>
      </c>
      <c r="F3" s="4" t="n">
        <v>64</v>
      </c>
      <c r="G3" s="4">
        <f>E3+F3</f>
        <v/>
      </c>
      <c r="H3" s="7">
        <f>E3/D3</f>
        <v/>
      </c>
    </row>
    <row r="4">
      <c r="A4" s="2" t="inlineStr">
        <is>
          <t>#3</t>
        </is>
      </c>
      <c r="B4" s="2" t="inlineStr">
        <is>
          <t>2026-09-16</t>
        </is>
      </c>
      <c r="C4" s="2" t="inlineStr">
        <is>
          <t>St Mary's Church Rooms, Millbrook</t>
        </is>
      </c>
      <c r="D4" s="2" t="n">
        <v>187</v>
      </c>
      <c r="E4" s="2" t="n">
        <v>121</v>
      </c>
      <c r="F4" s="2" t="n">
        <v>52</v>
      </c>
      <c r="G4" s="2">
        <f>E4+F4</f>
        <v/>
      </c>
      <c r="H4" s="6">
        <f>E4/D4</f>
        <v/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Consultation</t>
        </is>
      </c>
      <c r="B1" s="1" t="inlineStr">
        <is>
          <t>Support %</t>
        </is>
      </c>
      <c r="C1" s="1" t="inlineStr">
        <is>
          <t>Neutral %</t>
        </is>
      </c>
      <c r="D1" s="1" t="inlineStr">
        <is>
          <t>Oppose %</t>
        </is>
      </c>
    </row>
    <row r="2">
      <c r="A2" s="2" t="inlineStr">
        <is>
          <t>#1</t>
        </is>
      </c>
      <c r="B2" s="2" t="n">
        <v>42</v>
      </c>
      <c r="C2" s="2" t="n">
        <v>21</v>
      </c>
      <c r="D2" s="2" t="n">
        <v>37</v>
      </c>
    </row>
    <row r="3">
      <c r="A3" s="4" t="inlineStr">
        <is>
          <t>#2</t>
        </is>
      </c>
      <c r="B3" s="4" t="n">
        <v>47</v>
      </c>
      <c r="C3" s="4" t="n">
        <v>19</v>
      </c>
      <c r="D3" s="4" t="n">
        <v>34</v>
      </c>
    </row>
    <row r="4">
      <c r="A4" s="2" t="inlineStr">
        <is>
          <t>#3</t>
        </is>
      </c>
      <c r="B4" s="2" t="n">
        <v>53</v>
      </c>
      <c r="C4" s="2" t="n">
        <v>18</v>
      </c>
      <c r="D4" s="2" t="n">
        <v>29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Postcode area</t>
        </is>
      </c>
      <c r="B1" s="1" t="inlineStr">
        <is>
          <t>#1</t>
        </is>
      </c>
      <c r="C1" s="1" t="inlineStr">
        <is>
          <t>#2</t>
        </is>
      </c>
      <c r="D1" s="1" t="inlineStr">
        <is>
          <t>#3</t>
        </is>
      </c>
    </row>
    <row r="2">
      <c r="A2" s="2" t="inlineStr">
        <is>
          <t>MB4 2 (Mill Lane / village south)</t>
        </is>
      </c>
      <c r="B2" s="2" t="n">
        <v>18</v>
      </c>
      <c r="C2" s="2" t="n">
        <v>10</v>
      </c>
      <c r="D2" s="2" t="n">
        <v>36</v>
      </c>
    </row>
    <row r="3">
      <c r="A3" s="4" t="inlineStr">
        <is>
          <t>MB4 3 (village centre)</t>
        </is>
      </c>
      <c r="B3" s="4" t="n">
        <v>13</v>
      </c>
      <c r="C3" s="4" t="n">
        <v>27</v>
      </c>
      <c r="D3" s="4" t="n">
        <v>13</v>
      </c>
    </row>
    <row r="4">
      <c r="A4" s="2" t="inlineStr">
        <is>
          <t>MB4 7 (Hollins)</t>
        </is>
      </c>
      <c r="B4" s="2" t="n">
        <v>24</v>
      </c>
      <c r="C4" s="2" t="n">
        <v>29</v>
      </c>
      <c r="D4" s="2" t="n">
        <v>22</v>
      </c>
    </row>
    <row r="5">
      <c r="A5" s="4" t="inlineStr">
        <is>
          <t>MB5 1 (Ashcombe)</t>
        </is>
      </c>
      <c r="B5" s="4" t="n">
        <v>31</v>
      </c>
      <c r="C5" s="4" t="n">
        <v>10</v>
      </c>
      <c r="D5" s="4" t="n">
        <v>21</v>
      </c>
    </row>
    <row r="6">
      <c r="A6" s="2" t="inlineStr">
        <is>
          <t>Other / not given</t>
        </is>
      </c>
      <c r="B6" s="2" t="n">
        <v>21</v>
      </c>
      <c r="C6" s="2" t="n">
        <v>37</v>
      </c>
      <c r="D6" s="2" t="n">
        <v>39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2026-03-20T10:00:00Z</dcterms:created>
  <dcterms:modified xmlns:dcterms="http://purl.org/dc/terms/" xmlns:xsi="http://www.w3.org/2001/XMLSchema-instance" xsi:type="dcterms:W3CDTF">2026-10-04T19:30:21Z</dcterms:modified>
  <cp:lastModifiedBy>Tom Berger</cp:lastModifiedBy>
</cp:coreProperties>
</file>