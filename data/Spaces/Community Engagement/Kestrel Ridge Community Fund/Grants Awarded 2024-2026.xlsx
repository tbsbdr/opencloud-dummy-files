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'Grants'!$A$1:$I$53</definedName>
    <definedName name="_xlnm._FilterDatabase" localSheetId="1" hidden="1">'Summary'!$A$1:$G$6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  <col width="14" customWidth="1" min="5" max="5"/>
    <col width="18" customWidth="1" min="6" max="6"/>
    <col width="42" customWidth="1" min="7" max="7"/>
    <col width="13" customWidth="1" min="8" max="8"/>
    <col width="18" customWidth="1" min="9" max="9"/>
  </cols>
  <sheetData>
    <row r="1">
      <c r="A1" s="1" t="inlineStr">
        <is>
          <t>Grant ID</t>
        </is>
      </c>
      <c r="B1" s="1" t="inlineStr">
        <is>
          <t>Round</t>
        </is>
      </c>
      <c r="C1" s="1" t="inlineStr">
        <is>
          <t>Panel date</t>
        </is>
      </c>
      <c r="D1" s="1" t="inlineStr">
        <is>
          <t>Organisation</t>
        </is>
      </c>
      <c r="E1" s="1" t="inlineStr">
        <is>
          <t>Community</t>
        </is>
      </c>
      <c r="F1" s="1" t="inlineStr">
        <is>
          <t>Category</t>
        </is>
      </c>
      <c r="G1" s="1" t="inlineStr">
        <is>
          <t>Project</t>
        </is>
      </c>
      <c r="H1" s="1" t="inlineStr">
        <is>
          <t>Amount (GBP)</t>
        </is>
      </c>
      <c r="I1" s="1" t="inlineStr">
        <is>
          <t>Status</t>
        </is>
      </c>
    </row>
    <row r="2">
      <c r="A2" s="2" t="inlineStr">
        <is>
          <t>KRCF-2024-001</t>
        </is>
      </c>
      <c r="B2" s="2" t="inlineStr">
        <is>
          <t>2024 Autumn</t>
        </is>
      </c>
      <c r="C2" s="2" t="inlineStr">
        <is>
          <t>2024-11-27</t>
        </is>
      </c>
      <c r="D2" s="2" t="inlineStr">
        <is>
          <t>Bankhead Senior Lunch Club</t>
        </is>
      </c>
      <c r="E2" s="2" t="inlineStr">
        <is>
          <t>Bankhead</t>
        </is>
      </c>
      <c r="F2" s="2" t="inlineStr">
        <is>
          <t>Wellbeing</t>
        </is>
      </c>
      <c r="G2" s="2" t="inlineStr">
        <is>
          <t>Kitchen equipment</t>
        </is>
      </c>
      <c r="H2" s="3" t="n">
        <v>12000</v>
      </c>
      <c r="I2" s="2" t="inlineStr">
        <is>
          <t>Paid</t>
        </is>
      </c>
    </row>
    <row r="3">
      <c r="A3" s="4" t="inlineStr">
        <is>
          <t>KRCF-2024-002</t>
        </is>
      </c>
      <c r="B3" s="4" t="inlineStr">
        <is>
          <t>2024 Autumn</t>
        </is>
      </c>
      <c r="C3" s="4" t="inlineStr">
        <is>
          <t>2024-11-27</t>
        </is>
      </c>
      <c r="D3" s="4" t="inlineStr">
        <is>
          <t>Kestrel Ridge Trail Volunteers</t>
        </is>
      </c>
      <c r="E3" s="4" t="inlineStr">
        <is>
          <t>Glenhope</t>
        </is>
      </c>
      <c r="F3" s="4" t="inlineStr">
        <is>
          <t>Environment</t>
        </is>
      </c>
      <c r="G3" s="4" t="inlineStr">
        <is>
          <t>Path repairs and signage</t>
        </is>
      </c>
      <c r="H3" s="5" t="n">
        <v>24000</v>
      </c>
      <c r="I3" s="4" t="inlineStr">
        <is>
          <t>Paid</t>
        </is>
      </c>
    </row>
    <row r="4">
      <c r="A4" s="2" t="inlineStr">
        <is>
          <t>KRCF-2024-003</t>
        </is>
      </c>
      <c r="B4" s="2" t="inlineStr">
        <is>
          <t>2024 Autumn</t>
        </is>
      </c>
      <c r="C4" s="2" t="inlineStr">
        <is>
          <t>2024-11-27</t>
        </is>
      </c>
      <c r="D4" s="2" t="inlineStr">
        <is>
          <t>Borders Hill Rescue Team</t>
        </is>
      </c>
      <c r="E4" s="2" t="inlineStr">
        <is>
          <t>Lowmoor</t>
        </is>
      </c>
      <c r="F4" s="2" t="inlineStr">
        <is>
          <t>Safety</t>
        </is>
      </c>
      <c r="G4" s="2" t="inlineStr">
        <is>
          <t>Two radios and a stretcher</t>
        </is>
      </c>
      <c r="H4" s="3" t="n">
        <v>4200</v>
      </c>
      <c r="I4" s="2" t="inlineStr">
        <is>
          <t>Paid</t>
        </is>
      </c>
    </row>
    <row r="5">
      <c r="A5" s="4" t="inlineStr">
        <is>
          <t>KRCF-2024-004</t>
        </is>
      </c>
      <c r="B5" s="4" t="inlineStr">
        <is>
          <t>2024 Autumn</t>
        </is>
      </c>
      <c r="C5" s="4" t="inlineStr">
        <is>
          <t>2024-11-27</t>
        </is>
      </c>
      <c r="D5" s="4" t="inlineStr">
        <is>
          <t>Lowmoor Primary School Parent Council</t>
        </is>
      </c>
      <c r="E5" s="4" t="inlineStr">
        <is>
          <t>Lowmoor</t>
        </is>
      </c>
      <c r="F5" s="4" t="inlineStr">
        <is>
          <t>Young people</t>
        </is>
      </c>
      <c r="G5" s="4" t="inlineStr">
        <is>
          <t>Outdoor classroom</t>
        </is>
      </c>
      <c r="H5" s="5" t="n">
        <v>15000</v>
      </c>
      <c r="I5" s="4" t="inlineStr">
        <is>
          <t>Paid</t>
        </is>
      </c>
    </row>
    <row r="6">
      <c r="A6" s="2" t="inlineStr">
        <is>
          <t>KRCF-2024-005</t>
        </is>
      </c>
      <c r="B6" s="2" t="inlineStr">
        <is>
          <t>2024 Autumn</t>
        </is>
      </c>
      <c r="C6" s="2" t="inlineStr">
        <is>
          <t>2024-11-27</t>
        </is>
      </c>
      <c r="D6" s="2" t="inlineStr">
        <is>
          <t>Lowmoor Community Garden</t>
        </is>
      </c>
      <c r="E6" s="2" t="inlineStr">
        <is>
          <t>Lowmoor</t>
        </is>
      </c>
      <c r="F6" s="2" t="inlineStr">
        <is>
          <t>Environment</t>
        </is>
      </c>
      <c r="G6" s="2" t="inlineStr">
        <is>
          <t>Polytunnel and rainwater harvesting</t>
        </is>
      </c>
      <c r="H6" s="3" t="n">
        <v>3000</v>
      </c>
      <c r="I6" s="2" t="inlineStr">
        <is>
          <t>Paid</t>
        </is>
      </c>
    </row>
    <row r="7">
      <c r="A7" s="4" t="inlineStr">
        <is>
          <t>KRCF-2024-006</t>
        </is>
      </c>
      <c r="B7" s="4" t="inlineStr">
        <is>
          <t>2024 Autumn</t>
        </is>
      </c>
      <c r="C7" s="4" t="inlineStr">
        <is>
          <t>2024-11-27</t>
        </is>
      </c>
      <c r="D7" s="4" t="inlineStr">
        <is>
          <t>Stobo Mill Church Hall</t>
        </is>
      </c>
      <c r="E7" s="4" t="inlineStr">
        <is>
          <t>Stobo Mill</t>
        </is>
      </c>
      <c r="F7" s="4" t="inlineStr">
        <is>
          <t>Energy efficiency</t>
        </is>
      </c>
      <c r="G7" s="4" t="inlineStr">
        <is>
          <t>LED lighting and heating controls</t>
        </is>
      </c>
      <c r="H7" s="5" t="n">
        <v>18000</v>
      </c>
      <c r="I7" s="4" t="inlineStr">
        <is>
          <t>Paid</t>
        </is>
      </c>
    </row>
    <row r="8">
      <c r="A8" s="2" t="inlineStr">
        <is>
          <t>KRCF-2024-007</t>
        </is>
      </c>
      <c r="B8" s="2" t="inlineStr">
        <is>
          <t>2024 Autumn</t>
        </is>
      </c>
      <c r="C8" s="2" t="inlineStr">
        <is>
          <t>2024-11-27</t>
        </is>
      </c>
      <c r="D8" s="2" t="inlineStr">
        <is>
          <t>Ridge Riders Cycling Club</t>
        </is>
      </c>
      <c r="E8" s="2" t="inlineStr">
        <is>
          <t>Bankhead</t>
        </is>
      </c>
      <c r="F8" s="2" t="inlineStr">
        <is>
          <t>Sport &amp; health</t>
        </is>
      </c>
      <c r="G8" s="2" t="inlineStr">
        <is>
          <t>Youth bike maintenance courses</t>
        </is>
      </c>
      <c r="H8" s="3" t="n">
        <v>6500</v>
      </c>
      <c r="I8" s="2" t="inlineStr">
        <is>
          <t>Paid</t>
        </is>
      </c>
    </row>
    <row r="9">
      <c r="A9" s="4" t="inlineStr">
        <is>
          <t>KRCF-2024-008</t>
        </is>
      </c>
      <c r="B9" s="4" t="inlineStr">
        <is>
          <t>2024 Autumn</t>
        </is>
      </c>
      <c r="C9" s="4" t="inlineStr">
        <is>
          <t>2024-11-27</t>
        </is>
      </c>
      <c r="D9" s="4" t="inlineStr">
        <is>
          <t>Bankhead Toddler Group</t>
        </is>
      </c>
      <c r="E9" s="4" t="inlineStr">
        <is>
          <t>Bankhead</t>
        </is>
      </c>
      <c r="F9" s="4" t="inlineStr">
        <is>
          <t>Young people</t>
        </is>
      </c>
      <c r="G9" s="4" t="inlineStr">
        <is>
          <t>Toys and soft play</t>
        </is>
      </c>
      <c r="H9" s="5" t="n">
        <v>12000</v>
      </c>
      <c r="I9" s="4" t="inlineStr">
        <is>
          <t>Paid</t>
        </is>
      </c>
    </row>
    <row r="10">
      <c r="A10" s="2" t="inlineStr">
        <is>
          <t>KRCF-2024-009</t>
        </is>
      </c>
      <c r="B10" s="2" t="inlineStr">
        <is>
          <t>2024 Autumn</t>
        </is>
      </c>
      <c r="C10" s="2" t="inlineStr">
        <is>
          <t>2024-11-27</t>
        </is>
      </c>
      <c r="D10" s="2" t="inlineStr">
        <is>
          <t>Glenhope Community Shop</t>
        </is>
      </c>
      <c r="E10" s="2" t="inlineStr">
        <is>
          <t>Glenhope</t>
        </is>
      </c>
      <c r="F10" s="2" t="inlineStr">
        <is>
          <t>Local economy</t>
        </is>
      </c>
      <c r="G10" s="2" t="inlineStr">
        <is>
          <t>Energy-efficient chiller cabinets</t>
        </is>
      </c>
      <c r="H10" s="3" t="n">
        <v>1500</v>
      </c>
      <c r="I10" s="2" t="inlineStr">
        <is>
          <t>Paid</t>
        </is>
      </c>
    </row>
    <row r="11">
      <c r="A11" s="4" t="inlineStr">
        <is>
          <t>KRCF-2024-010</t>
        </is>
      </c>
      <c r="B11" s="4" t="inlineStr">
        <is>
          <t>2024 Autumn</t>
        </is>
      </c>
      <c r="C11" s="4" t="inlineStr">
        <is>
          <t>2024-11-27</t>
        </is>
      </c>
      <c r="D11" s="4" t="inlineStr">
        <is>
          <t>Borders Home Energy Advice</t>
        </is>
      </c>
      <c r="E11" s="4" t="inlineStr">
        <is>
          <t>All</t>
        </is>
      </c>
      <c r="F11" s="4" t="inlineStr">
        <is>
          <t>Energy efficiency</t>
        </is>
      </c>
      <c r="G11" s="4" t="inlineStr">
        <is>
          <t>Household energy grants scheme</t>
        </is>
      </c>
      <c r="H11" s="5" t="n">
        <v>40000</v>
      </c>
      <c r="I11" s="4" t="inlineStr">
        <is>
          <t>Paid</t>
        </is>
      </c>
    </row>
    <row r="12">
      <c r="A12" s="2" t="inlineStr">
        <is>
          <t>KRCF-2025-011</t>
        </is>
      </c>
      <c r="B12" s="2" t="inlineStr">
        <is>
          <t>2025 Spring</t>
        </is>
      </c>
      <c r="C12" s="2" t="inlineStr">
        <is>
          <t>2025-04-30</t>
        </is>
      </c>
      <c r="D12" s="2" t="inlineStr">
        <is>
          <t>Glenhope Village Hall Committee</t>
        </is>
      </c>
      <c r="E12" s="2" t="inlineStr">
        <is>
          <t>Glenhope</t>
        </is>
      </c>
      <c r="F12" s="2" t="inlineStr">
        <is>
          <t>Energy efficiency</t>
        </is>
      </c>
      <c r="G12" s="2" t="inlineStr">
        <is>
          <t>Window replacement and loft insulation</t>
        </is>
      </c>
      <c r="H12" s="3" t="n">
        <v>24000</v>
      </c>
      <c r="I12" s="2" t="inlineStr">
        <is>
          <t>Paid</t>
        </is>
      </c>
    </row>
    <row r="13">
      <c r="A13" s="4" t="inlineStr">
        <is>
          <t>KRCF-2025-012</t>
        </is>
      </c>
      <c r="B13" s="4" t="inlineStr">
        <is>
          <t>2025 Spring</t>
        </is>
      </c>
      <c r="C13" s="4" t="inlineStr">
        <is>
          <t>2025-04-30</t>
        </is>
      </c>
      <c r="D13" s="4" t="inlineStr">
        <is>
          <t>Borders Hill Rescue Team</t>
        </is>
      </c>
      <c r="E13" s="4" t="inlineStr">
        <is>
          <t>Lowmoor</t>
        </is>
      </c>
      <c r="F13" s="4" t="inlineStr">
        <is>
          <t>Safety</t>
        </is>
      </c>
      <c r="G13" s="4" t="inlineStr">
        <is>
          <t>Two radios and a stretcher</t>
        </is>
      </c>
      <c r="H13" s="5" t="n">
        <v>5000</v>
      </c>
      <c r="I13" s="4" t="inlineStr">
        <is>
          <t>Paid</t>
        </is>
      </c>
    </row>
    <row r="14">
      <c r="A14" s="2" t="inlineStr">
        <is>
          <t>KRCF-2025-013</t>
        </is>
      </c>
      <c r="B14" s="2" t="inlineStr">
        <is>
          <t>2025 Spring</t>
        </is>
      </c>
      <c r="C14" s="2" t="inlineStr">
        <is>
          <t>2025-04-30</t>
        </is>
      </c>
      <c r="D14" s="2" t="inlineStr">
        <is>
          <t>Lowmoor Community Garden</t>
        </is>
      </c>
      <c r="E14" s="2" t="inlineStr">
        <is>
          <t>Lowmoor</t>
        </is>
      </c>
      <c r="F14" s="2" t="inlineStr">
        <is>
          <t>Environment</t>
        </is>
      </c>
      <c r="G14" s="2" t="inlineStr">
        <is>
          <t>Polytunnel and rainwater harvesting</t>
        </is>
      </c>
      <c r="H14" s="3" t="n">
        <v>6500</v>
      </c>
      <c r="I14" s="2" t="inlineStr">
        <is>
          <t>Paid</t>
        </is>
      </c>
    </row>
    <row r="15">
      <c r="A15" s="4" t="inlineStr">
        <is>
          <t>KRCF-2025-014</t>
        </is>
      </c>
      <c r="B15" s="4" t="inlineStr">
        <is>
          <t>2025 Spring</t>
        </is>
      </c>
      <c r="C15" s="4" t="inlineStr">
        <is>
          <t>2025-04-30</t>
        </is>
      </c>
      <c r="D15" s="4" t="inlineStr">
        <is>
          <t>Carrick Water Men's Shed</t>
        </is>
      </c>
      <c r="E15" s="4" t="inlineStr">
        <is>
          <t>Carrick Water</t>
        </is>
      </c>
      <c r="F15" s="4" t="inlineStr">
        <is>
          <t>Wellbeing</t>
        </is>
      </c>
      <c r="G15" s="4" t="inlineStr">
        <is>
          <t>Workshop tools and dust extraction</t>
        </is>
      </c>
      <c r="H15" s="5" t="n">
        <v>15000</v>
      </c>
      <c r="I15" s="4" t="inlineStr">
        <is>
          <t>Paid</t>
        </is>
      </c>
    </row>
    <row r="16">
      <c r="A16" s="2" t="inlineStr">
        <is>
          <t>KRCF-2025-015</t>
        </is>
      </c>
      <c r="B16" s="2" t="inlineStr">
        <is>
          <t>2025 Spring</t>
        </is>
      </c>
      <c r="C16" s="2" t="inlineStr">
        <is>
          <t>2025-04-30</t>
        </is>
      </c>
      <c r="D16" s="2" t="inlineStr">
        <is>
          <t>Bankhead Toddler Group</t>
        </is>
      </c>
      <c r="E16" s="2" t="inlineStr">
        <is>
          <t>Bankhead</t>
        </is>
      </c>
      <c r="F16" s="2" t="inlineStr">
        <is>
          <t>Young people</t>
        </is>
      </c>
      <c r="G16" s="2" t="inlineStr">
        <is>
          <t>Toys and soft play</t>
        </is>
      </c>
      <c r="H16" s="3" t="n">
        <v>2500</v>
      </c>
      <c r="I16" s="2" t="inlineStr">
        <is>
          <t>Paid</t>
        </is>
      </c>
    </row>
    <row r="17">
      <c r="A17" s="4" t="inlineStr">
        <is>
          <t>KRCF-2025-016</t>
        </is>
      </c>
      <c r="B17" s="4" t="inlineStr">
        <is>
          <t>2025 Spring</t>
        </is>
      </c>
      <c r="C17" s="4" t="inlineStr">
        <is>
          <t>2025-04-30</t>
        </is>
      </c>
      <c r="D17" s="4" t="inlineStr">
        <is>
          <t>Kestrel Ridge Trail Volunteers</t>
        </is>
      </c>
      <c r="E17" s="4" t="inlineStr">
        <is>
          <t>Glenhope</t>
        </is>
      </c>
      <c r="F17" s="4" t="inlineStr">
        <is>
          <t>Environment</t>
        </is>
      </c>
      <c r="G17" s="4" t="inlineStr">
        <is>
          <t>Path repairs and signage</t>
        </is>
      </c>
      <c r="H17" s="5" t="n">
        <v>15000</v>
      </c>
      <c r="I17" s="4" t="inlineStr">
        <is>
          <t>Paid</t>
        </is>
      </c>
    </row>
    <row r="18">
      <c r="A18" s="2" t="inlineStr">
        <is>
          <t>KRCF-2025-017</t>
        </is>
      </c>
      <c r="B18" s="2" t="inlineStr">
        <is>
          <t>2025 Spring</t>
        </is>
      </c>
      <c r="C18" s="2" t="inlineStr">
        <is>
          <t>2025-04-30</t>
        </is>
      </c>
      <c r="D18" s="2" t="inlineStr">
        <is>
          <t>Stobo Mill Playgroup</t>
        </is>
      </c>
      <c r="E18" s="2" t="inlineStr">
        <is>
          <t>Stobo Mill</t>
        </is>
      </c>
      <c r="F18" s="2" t="inlineStr">
        <is>
          <t>Young people</t>
        </is>
      </c>
      <c r="G18" s="2" t="inlineStr">
        <is>
          <t>Garden play equipment</t>
        </is>
      </c>
      <c r="H18" s="3" t="n">
        <v>9500</v>
      </c>
      <c r="I18" s="2" t="inlineStr">
        <is>
          <t>Paid</t>
        </is>
      </c>
    </row>
    <row r="19">
      <c r="A19" s="4" t="inlineStr">
        <is>
          <t>KRCF-2025-018</t>
        </is>
      </c>
      <c r="B19" s="4" t="inlineStr">
        <is>
          <t>2025 Spring</t>
        </is>
      </c>
      <c r="C19" s="4" t="inlineStr">
        <is>
          <t>2025-04-30</t>
        </is>
      </c>
      <c r="D19" s="4" t="inlineStr">
        <is>
          <t>Carrick Water Angling Club</t>
        </is>
      </c>
      <c r="E19" s="4" t="inlineStr">
        <is>
          <t>Carrick Water</t>
        </is>
      </c>
      <c r="F19" s="4" t="inlineStr">
        <is>
          <t>Environment</t>
        </is>
      </c>
      <c r="G19" s="4" t="inlineStr">
        <is>
          <t>Riverbank restoration</t>
        </is>
      </c>
      <c r="H19" s="5" t="n">
        <v>12000</v>
      </c>
      <c r="I19" s="4" t="inlineStr">
        <is>
          <t>Paid</t>
        </is>
      </c>
    </row>
    <row r="20">
      <c r="A20" s="2" t="inlineStr">
        <is>
          <t>KRCF-2025-019</t>
        </is>
      </c>
      <c r="B20" s="2" t="inlineStr">
        <is>
          <t>2025 Spring</t>
        </is>
      </c>
      <c r="C20" s="2" t="inlineStr">
        <is>
          <t>2025-04-30</t>
        </is>
      </c>
      <c r="D20" s="2" t="inlineStr">
        <is>
          <t>Lowmoor Youth Football Club</t>
        </is>
      </c>
      <c r="E20" s="2" t="inlineStr">
        <is>
          <t>Lowmoor</t>
        </is>
      </c>
      <c r="F20" s="2" t="inlineStr">
        <is>
          <t>Sport &amp; health</t>
        </is>
      </c>
      <c r="G20" s="2" t="inlineStr">
        <is>
          <t>Kit and pitch drainage</t>
        </is>
      </c>
      <c r="H20" s="3" t="n">
        <v>2500</v>
      </c>
      <c r="I20" s="2" t="inlineStr">
        <is>
          <t>Paid</t>
        </is>
      </c>
    </row>
    <row r="21">
      <c r="A21" s="4" t="inlineStr">
        <is>
          <t>KRCF-2025-020</t>
        </is>
      </c>
      <c r="B21" s="4" t="inlineStr">
        <is>
          <t>2025 Spring</t>
        </is>
      </c>
      <c r="C21" s="4" t="inlineStr">
        <is>
          <t>2025-04-30</t>
        </is>
      </c>
      <c r="D21" s="4" t="inlineStr">
        <is>
          <t>Lowmoor Food Larder</t>
        </is>
      </c>
      <c r="E21" s="4" t="inlineStr">
        <is>
          <t>Lowmoor</t>
        </is>
      </c>
      <c r="F21" s="4" t="inlineStr">
        <is>
          <t>Wellbeing</t>
        </is>
      </c>
      <c r="G21" s="4" t="inlineStr">
        <is>
          <t>Freezer and running costs</t>
        </is>
      </c>
      <c r="H21" s="5" t="n">
        <v>3000</v>
      </c>
      <c r="I21" s="4" t="inlineStr">
        <is>
          <t>Paid</t>
        </is>
      </c>
    </row>
    <row r="22">
      <c r="A22" s="2" t="inlineStr">
        <is>
          <t>KRCF-2025-021</t>
        </is>
      </c>
      <c r="B22" s="2" t="inlineStr">
        <is>
          <t>2025 Spring</t>
        </is>
      </c>
      <c r="C22" s="2" t="inlineStr">
        <is>
          <t>2025-04-30</t>
        </is>
      </c>
      <c r="D22" s="2" t="inlineStr">
        <is>
          <t>Bankhead Senior Lunch Club</t>
        </is>
      </c>
      <c r="E22" s="2" t="inlineStr">
        <is>
          <t>Bankhead</t>
        </is>
      </c>
      <c r="F22" s="2" t="inlineStr">
        <is>
          <t>Wellbeing</t>
        </is>
      </c>
      <c r="G22" s="2" t="inlineStr">
        <is>
          <t>Kitchen equipment</t>
        </is>
      </c>
      <c r="H22" s="3" t="n">
        <v>1500</v>
      </c>
      <c r="I22" s="2" t="inlineStr">
        <is>
          <t>Paid</t>
        </is>
      </c>
    </row>
    <row r="23">
      <c r="A23" s="4" t="inlineStr">
        <is>
          <t>KRCF-2025-022</t>
        </is>
      </c>
      <c r="B23" s="4" t="inlineStr">
        <is>
          <t>2025 Spring</t>
        </is>
      </c>
      <c r="C23" s="4" t="inlineStr">
        <is>
          <t>2025-04-30</t>
        </is>
      </c>
      <c r="D23" s="4" t="inlineStr">
        <is>
          <t>Borders Home Energy Advice</t>
        </is>
      </c>
      <c r="E23" s="4" t="inlineStr">
        <is>
          <t>All</t>
        </is>
      </c>
      <c r="F23" s="4" t="inlineStr">
        <is>
          <t>Energy efficiency</t>
        </is>
      </c>
      <c r="G23" s="4" t="inlineStr">
        <is>
          <t>Household energy grants scheme</t>
        </is>
      </c>
      <c r="H23" s="5" t="n">
        <v>40000</v>
      </c>
      <c r="I23" s="4" t="inlineStr">
        <is>
          <t>Paid</t>
        </is>
      </c>
    </row>
    <row r="24">
      <c r="A24" s="2" t="inlineStr">
        <is>
          <t>KRCF-2025-023</t>
        </is>
      </c>
      <c r="B24" s="2" t="inlineStr">
        <is>
          <t>2025 Autumn</t>
        </is>
      </c>
      <c r="C24" s="2" t="inlineStr">
        <is>
          <t>2025-11-26</t>
        </is>
      </c>
      <c r="D24" s="2" t="inlineStr">
        <is>
          <t>Lowmoor Pipe Band</t>
        </is>
      </c>
      <c r="E24" s="2" t="inlineStr">
        <is>
          <t>Lowmoor</t>
        </is>
      </c>
      <c r="F24" s="2" t="inlineStr">
        <is>
          <t>Culture</t>
        </is>
      </c>
      <c r="G24" s="2" t="inlineStr">
        <is>
          <t>Instruments for young players</t>
        </is>
      </c>
      <c r="H24" s="3" t="n">
        <v>6500</v>
      </c>
      <c r="I24" s="2" t="inlineStr">
        <is>
          <t>Paid</t>
        </is>
      </c>
    </row>
    <row r="25">
      <c r="A25" s="4" t="inlineStr">
        <is>
          <t>KRCF-2025-024</t>
        </is>
      </c>
      <c r="B25" s="4" t="inlineStr">
        <is>
          <t>2025 Autumn</t>
        </is>
      </c>
      <c r="C25" s="4" t="inlineStr">
        <is>
          <t>2025-11-26</t>
        </is>
      </c>
      <c r="D25" s="4" t="inlineStr">
        <is>
          <t>Ridge Riders Cycling Club</t>
        </is>
      </c>
      <c r="E25" s="4" t="inlineStr">
        <is>
          <t>Bankhead</t>
        </is>
      </c>
      <c r="F25" s="4" t="inlineStr">
        <is>
          <t>Sport &amp; health</t>
        </is>
      </c>
      <c r="G25" s="4" t="inlineStr">
        <is>
          <t>Youth bike maintenance courses</t>
        </is>
      </c>
      <c r="H25" s="5" t="n">
        <v>2500</v>
      </c>
      <c r="I25" s="4" t="inlineStr">
        <is>
          <t>Paid</t>
        </is>
      </c>
    </row>
    <row r="26">
      <c r="A26" s="2" t="inlineStr">
        <is>
          <t>KRCF-2025-025</t>
        </is>
      </c>
      <c r="B26" s="2" t="inlineStr">
        <is>
          <t>2025 Autumn</t>
        </is>
      </c>
      <c r="C26" s="2" t="inlineStr">
        <is>
          <t>2025-11-26</t>
        </is>
      </c>
      <c r="D26" s="2" t="inlineStr">
        <is>
          <t>Glenhope &amp; District Defibrillator Group</t>
        </is>
      </c>
      <c r="E26" s="2" t="inlineStr">
        <is>
          <t>Glenhope</t>
        </is>
      </c>
      <c r="F26" s="2" t="inlineStr">
        <is>
          <t>Safety</t>
        </is>
      </c>
      <c r="G26" s="2" t="inlineStr">
        <is>
          <t>Three public-access defibrillators</t>
        </is>
      </c>
      <c r="H26" s="3" t="n">
        <v>12000</v>
      </c>
      <c r="I26" s="2" t="inlineStr">
        <is>
          <t>Paid</t>
        </is>
      </c>
    </row>
    <row r="27">
      <c r="A27" s="4" t="inlineStr">
        <is>
          <t>KRCF-2025-026</t>
        </is>
      </c>
      <c r="B27" s="4" t="inlineStr">
        <is>
          <t>2025 Autumn</t>
        </is>
      </c>
      <c r="C27" s="4" t="inlineStr">
        <is>
          <t>2025-11-26</t>
        </is>
      </c>
      <c r="D27" s="4" t="inlineStr">
        <is>
          <t>Carrick Water Men's Shed</t>
        </is>
      </c>
      <c r="E27" s="4" t="inlineStr">
        <is>
          <t>Carrick Water</t>
        </is>
      </c>
      <c r="F27" s="4" t="inlineStr">
        <is>
          <t>Wellbeing</t>
        </is>
      </c>
      <c r="G27" s="4" t="inlineStr">
        <is>
          <t>Workshop tools and dust extraction</t>
        </is>
      </c>
      <c r="H27" s="5" t="n">
        <v>1500</v>
      </c>
      <c r="I27" s="4" t="inlineStr">
        <is>
          <t>Paid</t>
        </is>
      </c>
    </row>
    <row r="28">
      <c r="A28" s="2" t="inlineStr">
        <is>
          <t>KRCF-2025-027</t>
        </is>
      </c>
      <c r="B28" s="2" t="inlineStr">
        <is>
          <t>2025 Autumn</t>
        </is>
      </c>
      <c r="C28" s="2" t="inlineStr">
        <is>
          <t>2025-11-26</t>
        </is>
      </c>
      <c r="D28" s="2" t="inlineStr">
        <is>
          <t>Borders Hill Rescue Team</t>
        </is>
      </c>
      <c r="E28" s="2" t="inlineStr">
        <is>
          <t>Lowmoor</t>
        </is>
      </c>
      <c r="F28" s="2" t="inlineStr">
        <is>
          <t>Safety</t>
        </is>
      </c>
      <c r="G28" s="2" t="inlineStr">
        <is>
          <t>Two radios and a stretcher</t>
        </is>
      </c>
      <c r="H28" s="3" t="n">
        <v>9500</v>
      </c>
      <c r="I28" s="2" t="inlineStr">
        <is>
          <t>Paid</t>
        </is>
      </c>
    </row>
    <row r="29">
      <c r="A29" s="4" t="inlineStr">
        <is>
          <t>KRCF-2025-028</t>
        </is>
      </c>
      <c r="B29" s="4" t="inlineStr">
        <is>
          <t>2025 Autumn</t>
        </is>
      </c>
      <c r="C29" s="4" t="inlineStr">
        <is>
          <t>2025-11-26</t>
        </is>
      </c>
      <c r="D29" s="4" t="inlineStr">
        <is>
          <t>Bankhead Toddler Group</t>
        </is>
      </c>
      <c r="E29" s="4" t="inlineStr">
        <is>
          <t>Bankhead</t>
        </is>
      </c>
      <c r="F29" s="4" t="inlineStr">
        <is>
          <t>Young people</t>
        </is>
      </c>
      <c r="G29" s="4" t="inlineStr">
        <is>
          <t>Toys and soft play</t>
        </is>
      </c>
      <c r="H29" s="5" t="n">
        <v>2500</v>
      </c>
      <c r="I29" s="4" t="inlineStr">
        <is>
          <t>Paid</t>
        </is>
      </c>
    </row>
    <row r="30">
      <c r="A30" s="2" t="inlineStr">
        <is>
          <t>KRCF-2025-029</t>
        </is>
      </c>
      <c r="B30" s="2" t="inlineStr">
        <is>
          <t>2025 Autumn</t>
        </is>
      </c>
      <c r="C30" s="2" t="inlineStr">
        <is>
          <t>2025-11-26</t>
        </is>
      </c>
      <c r="D30" s="2" t="inlineStr">
        <is>
          <t>Carrick Water Angling Club</t>
        </is>
      </c>
      <c r="E30" s="2" t="inlineStr">
        <is>
          <t>Carrick Water</t>
        </is>
      </c>
      <c r="F30" s="2" t="inlineStr">
        <is>
          <t>Environment</t>
        </is>
      </c>
      <c r="G30" s="2" t="inlineStr">
        <is>
          <t>Riverbank restoration</t>
        </is>
      </c>
      <c r="H30" s="3" t="n">
        <v>3000</v>
      </c>
      <c r="I30" s="2" t="inlineStr">
        <is>
          <t>Paid</t>
        </is>
      </c>
    </row>
    <row r="31">
      <c r="A31" s="4" t="inlineStr">
        <is>
          <t>KRCF-2025-030</t>
        </is>
      </c>
      <c r="B31" s="4" t="inlineStr">
        <is>
          <t>2025 Autumn</t>
        </is>
      </c>
      <c r="C31" s="4" t="inlineStr">
        <is>
          <t>2025-11-26</t>
        </is>
      </c>
      <c r="D31" s="4" t="inlineStr">
        <is>
          <t>Carrick Water Gala Committee</t>
        </is>
      </c>
      <c r="E31" s="4" t="inlineStr">
        <is>
          <t>Carrick Water</t>
        </is>
      </c>
      <c r="F31" s="4" t="inlineStr">
        <is>
          <t>Culture</t>
        </is>
      </c>
      <c r="G31" s="4" t="inlineStr">
        <is>
          <t>Annual gala</t>
        </is>
      </c>
      <c r="H31" s="5" t="n">
        <v>12000</v>
      </c>
      <c r="I31" s="4" t="inlineStr">
        <is>
          <t>Paid</t>
        </is>
      </c>
    </row>
    <row r="32">
      <c r="A32" s="2" t="inlineStr">
        <is>
          <t>KRCF-2025-031</t>
        </is>
      </c>
      <c r="B32" s="2" t="inlineStr">
        <is>
          <t>2025 Autumn</t>
        </is>
      </c>
      <c r="C32" s="2" t="inlineStr">
        <is>
          <t>2025-11-26</t>
        </is>
      </c>
      <c r="D32" s="2" t="inlineStr">
        <is>
          <t>Stobo Mill Playgroup</t>
        </is>
      </c>
      <c r="E32" s="2" t="inlineStr">
        <is>
          <t>Stobo Mill</t>
        </is>
      </c>
      <c r="F32" s="2" t="inlineStr">
        <is>
          <t>Young people</t>
        </is>
      </c>
      <c r="G32" s="2" t="inlineStr">
        <is>
          <t>Garden play equipment</t>
        </is>
      </c>
      <c r="H32" s="3" t="n">
        <v>5000</v>
      </c>
      <c r="I32" s="2" t="inlineStr">
        <is>
          <t>Paid</t>
        </is>
      </c>
    </row>
    <row r="33">
      <c r="A33" s="4" t="inlineStr">
        <is>
          <t>KRCF-2025-032</t>
        </is>
      </c>
      <c r="B33" s="4" t="inlineStr">
        <is>
          <t>2025 Autumn</t>
        </is>
      </c>
      <c r="C33" s="4" t="inlineStr">
        <is>
          <t>2025-11-26</t>
        </is>
      </c>
      <c r="D33" s="4" t="inlineStr">
        <is>
          <t>Bankhead Bowling Club</t>
        </is>
      </c>
      <c r="E33" s="4" t="inlineStr">
        <is>
          <t>Bankhead</t>
        </is>
      </c>
      <c r="F33" s="4" t="inlineStr">
        <is>
          <t>Sport &amp; health</t>
        </is>
      </c>
      <c r="G33" s="4" t="inlineStr">
        <is>
          <t>Clubhouse heat pump</t>
        </is>
      </c>
      <c r="H33" s="5" t="n">
        <v>1500</v>
      </c>
      <c r="I33" s="4" t="inlineStr">
        <is>
          <t>Paid</t>
        </is>
      </c>
    </row>
    <row r="34">
      <c r="A34" s="2" t="inlineStr">
        <is>
          <t>KRCF-2025-033</t>
        </is>
      </c>
      <c r="B34" s="2" t="inlineStr">
        <is>
          <t>2025 Autumn</t>
        </is>
      </c>
      <c r="C34" s="2" t="inlineStr">
        <is>
          <t>2025-11-26</t>
        </is>
      </c>
      <c r="D34" s="2" t="inlineStr">
        <is>
          <t>Lowmoor Primary School Parent Council</t>
        </is>
      </c>
      <c r="E34" s="2" t="inlineStr">
        <is>
          <t>Lowmoor</t>
        </is>
      </c>
      <c r="F34" s="2" t="inlineStr">
        <is>
          <t>Young people</t>
        </is>
      </c>
      <c r="G34" s="2" t="inlineStr">
        <is>
          <t>Outdoor classroom</t>
        </is>
      </c>
      <c r="H34" s="3" t="n">
        <v>2500</v>
      </c>
      <c r="I34" s="2" t="inlineStr">
        <is>
          <t>Paid</t>
        </is>
      </c>
    </row>
    <row r="35">
      <c r="A35" s="4" t="inlineStr">
        <is>
          <t>KRCF-2025-034</t>
        </is>
      </c>
      <c r="B35" s="4" t="inlineStr">
        <is>
          <t>2025 Autumn</t>
        </is>
      </c>
      <c r="C35" s="4" t="inlineStr">
        <is>
          <t>2025-11-26</t>
        </is>
      </c>
      <c r="D35" s="4" t="inlineStr">
        <is>
          <t>Lowmoor Food Larder</t>
        </is>
      </c>
      <c r="E35" s="4" t="inlineStr">
        <is>
          <t>Lowmoor</t>
        </is>
      </c>
      <c r="F35" s="4" t="inlineStr">
        <is>
          <t>Wellbeing</t>
        </is>
      </c>
      <c r="G35" s="4" t="inlineStr">
        <is>
          <t>Freezer and running costs</t>
        </is>
      </c>
      <c r="H35" s="5" t="n">
        <v>6500</v>
      </c>
      <c r="I35" s="4" t="inlineStr">
        <is>
          <t>Paid</t>
        </is>
      </c>
    </row>
    <row r="36">
      <c r="A36" s="2" t="inlineStr">
        <is>
          <t>KRCF-2025-035</t>
        </is>
      </c>
      <c r="B36" s="2" t="inlineStr">
        <is>
          <t>2025 Autumn</t>
        </is>
      </c>
      <c r="C36" s="2" t="inlineStr">
        <is>
          <t>2025-11-26</t>
        </is>
      </c>
      <c r="D36" s="2" t="inlineStr">
        <is>
          <t>Borders Home Energy Advice</t>
        </is>
      </c>
      <c r="E36" s="2" t="inlineStr">
        <is>
          <t>All</t>
        </is>
      </c>
      <c r="F36" s="2" t="inlineStr">
        <is>
          <t>Energy efficiency</t>
        </is>
      </c>
      <c r="G36" s="2" t="inlineStr">
        <is>
          <t>Household energy grants scheme</t>
        </is>
      </c>
      <c r="H36" s="3" t="n">
        <v>40000</v>
      </c>
      <c r="I36" s="2" t="inlineStr">
        <is>
          <t>Paid</t>
        </is>
      </c>
    </row>
    <row r="37">
      <c r="A37" s="4" t="inlineStr">
        <is>
          <t>KRCF-2026-036</t>
        </is>
      </c>
      <c r="B37" s="4" t="inlineStr">
        <is>
          <t>2026 Spring</t>
        </is>
      </c>
      <c r="C37" s="4" t="inlineStr">
        <is>
          <t>2026-04-29</t>
        </is>
      </c>
      <c r="D37" s="4" t="inlineStr">
        <is>
          <t>Carrick Water Gala Committee</t>
        </is>
      </c>
      <c r="E37" s="4" t="inlineStr">
        <is>
          <t>Carrick Water</t>
        </is>
      </c>
      <c r="F37" s="4" t="inlineStr">
        <is>
          <t>Culture</t>
        </is>
      </c>
      <c r="G37" s="4" t="inlineStr">
        <is>
          <t>Annual gala</t>
        </is>
      </c>
      <c r="H37" s="5" t="n">
        <v>6500</v>
      </c>
      <c r="I37" s="4" t="inlineStr">
        <is>
          <t>Awaiting report</t>
        </is>
      </c>
    </row>
    <row r="38">
      <c r="A38" s="2" t="inlineStr">
        <is>
          <t>KRCF-2026-037</t>
        </is>
      </c>
      <c r="B38" s="2" t="inlineStr">
        <is>
          <t>2026 Spring</t>
        </is>
      </c>
      <c r="C38" s="2" t="inlineStr">
        <is>
          <t>2026-04-29</t>
        </is>
      </c>
      <c r="D38" s="2" t="inlineStr">
        <is>
          <t>Glenhope Primary School</t>
        </is>
      </c>
      <c r="E38" s="2" t="inlineStr">
        <is>
          <t>Glenhope</t>
        </is>
      </c>
      <c r="F38" s="2" t="inlineStr">
        <is>
          <t>Young people</t>
        </is>
      </c>
      <c r="G38" s="2" t="inlineStr">
        <is>
          <t>Solar PV on school roof (match funding)</t>
        </is>
      </c>
      <c r="H38" s="3" t="n">
        <v>1500</v>
      </c>
      <c r="I38" s="2" t="inlineStr">
        <is>
          <t>Paid</t>
        </is>
      </c>
    </row>
    <row r="39">
      <c r="A39" s="4" t="inlineStr">
        <is>
          <t>KRCF-2026-038</t>
        </is>
      </c>
      <c r="B39" s="4" t="inlineStr">
        <is>
          <t>2026 Spring</t>
        </is>
      </c>
      <c r="C39" s="4" t="inlineStr">
        <is>
          <t>2026-04-29</t>
        </is>
      </c>
      <c r="D39" s="4" t="inlineStr">
        <is>
          <t>Borders Hill Rescue Team</t>
        </is>
      </c>
      <c r="E39" s="4" t="inlineStr">
        <is>
          <t>Lowmoor</t>
        </is>
      </c>
      <c r="F39" s="4" t="inlineStr">
        <is>
          <t>Safety</t>
        </is>
      </c>
      <c r="G39" s="4" t="inlineStr">
        <is>
          <t>Two radios and a stretcher</t>
        </is>
      </c>
      <c r="H39" s="5" t="n">
        <v>4200</v>
      </c>
      <c r="I39" s="4" t="inlineStr">
        <is>
          <t>Paid</t>
        </is>
      </c>
    </row>
    <row r="40">
      <c r="A40" s="2" t="inlineStr">
        <is>
          <t>KRCF-2026-039</t>
        </is>
      </c>
      <c r="B40" s="2" t="inlineStr">
        <is>
          <t>2026 Spring</t>
        </is>
      </c>
      <c r="C40" s="2" t="inlineStr">
        <is>
          <t>2026-04-29</t>
        </is>
      </c>
      <c r="D40" s="2" t="inlineStr">
        <is>
          <t>Bankhead Toddler Group</t>
        </is>
      </c>
      <c r="E40" s="2" t="inlineStr">
        <is>
          <t>Bankhead</t>
        </is>
      </c>
      <c r="F40" s="2" t="inlineStr">
        <is>
          <t>Young people</t>
        </is>
      </c>
      <c r="G40" s="2" t="inlineStr">
        <is>
          <t>Toys and soft play</t>
        </is>
      </c>
      <c r="H40" s="3" t="n">
        <v>4200</v>
      </c>
      <c r="I40" s="2" t="inlineStr">
        <is>
          <t>Paid</t>
        </is>
      </c>
    </row>
    <row r="41">
      <c r="A41" s="4" t="inlineStr">
        <is>
          <t>KRCF-2026-040</t>
        </is>
      </c>
      <c r="B41" s="4" t="inlineStr">
        <is>
          <t>2026 Spring</t>
        </is>
      </c>
      <c r="C41" s="4" t="inlineStr">
        <is>
          <t>2026-04-29</t>
        </is>
      </c>
      <c r="D41" s="4" t="inlineStr">
        <is>
          <t>Lowmoor Pipe Band</t>
        </is>
      </c>
      <c r="E41" s="4" t="inlineStr">
        <is>
          <t>Lowmoor</t>
        </is>
      </c>
      <c r="F41" s="4" t="inlineStr">
        <is>
          <t>Culture</t>
        </is>
      </c>
      <c r="G41" s="4" t="inlineStr">
        <is>
          <t>Instruments for young players</t>
        </is>
      </c>
      <c r="H41" s="5" t="n">
        <v>24000</v>
      </c>
      <c r="I41" s="4" t="inlineStr">
        <is>
          <t>Paid</t>
        </is>
      </c>
    </row>
    <row r="42">
      <c r="A42" s="2" t="inlineStr">
        <is>
          <t>KRCF-2026-041</t>
        </is>
      </c>
      <c r="B42" s="2" t="inlineStr">
        <is>
          <t>2026 Spring</t>
        </is>
      </c>
      <c r="C42" s="2" t="inlineStr">
        <is>
          <t>2026-04-29</t>
        </is>
      </c>
      <c r="D42" s="2" t="inlineStr">
        <is>
          <t>Stobo Mill Playgroup</t>
        </is>
      </c>
      <c r="E42" s="2" t="inlineStr">
        <is>
          <t>Stobo Mill</t>
        </is>
      </c>
      <c r="F42" s="2" t="inlineStr">
        <is>
          <t>Young people</t>
        </is>
      </c>
      <c r="G42" s="2" t="inlineStr">
        <is>
          <t>Garden play equipment</t>
        </is>
      </c>
      <c r="H42" s="3" t="n">
        <v>3000</v>
      </c>
      <c r="I42" s="2" t="inlineStr">
        <is>
          <t>Awaiting report</t>
        </is>
      </c>
    </row>
    <row r="43">
      <c r="A43" s="4" t="inlineStr">
        <is>
          <t>KRCF-2026-042</t>
        </is>
      </c>
      <c r="B43" s="4" t="inlineStr">
        <is>
          <t>2026 Spring</t>
        </is>
      </c>
      <c r="C43" s="4" t="inlineStr">
        <is>
          <t>2026-04-29</t>
        </is>
      </c>
      <c r="D43" s="4" t="inlineStr">
        <is>
          <t>Bankhead Bowling Club</t>
        </is>
      </c>
      <c r="E43" s="4" t="inlineStr">
        <is>
          <t>Bankhead</t>
        </is>
      </c>
      <c r="F43" s="4" t="inlineStr">
        <is>
          <t>Sport &amp; health</t>
        </is>
      </c>
      <c r="G43" s="4" t="inlineStr">
        <is>
          <t>Clubhouse heat pump</t>
        </is>
      </c>
      <c r="H43" s="5" t="n">
        <v>24000</v>
      </c>
      <c r="I43" s="4" t="inlineStr">
        <is>
          <t>Paid</t>
        </is>
      </c>
    </row>
    <row r="44">
      <c r="A44" s="2" t="inlineStr">
        <is>
          <t>KRCF-2026-043</t>
        </is>
      </c>
      <c r="B44" s="2" t="inlineStr">
        <is>
          <t>2026 Spring</t>
        </is>
      </c>
      <c r="C44" s="2" t="inlineStr">
        <is>
          <t>2026-04-29</t>
        </is>
      </c>
      <c r="D44" s="2" t="inlineStr">
        <is>
          <t>Lowmoor Community Garden</t>
        </is>
      </c>
      <c r="E44" s="2" t="inlineStr">
        <is>
          <t>Lowmoor</t>
        </is>
      </c>
      <c r="F44" s="2" t="inlineStr">
        <is>
          <t>Environment</t>
        </is>
      </c>
      <c r="G44" s="2" t="inlineStr">
        <is>
          <t>Polytunnel and rainwater harvesting</t>
        </is>
      </c>
      <c r="H44" s="3" t="n">
        <v>3000</v>
      </c>
      <c r="I44" s="2" t="inlineStr">
        <is>
          <t>Awaiting report</t>
        </is>
      </c>
    </row>
    <row r="45">
      <c r="A45" s="4" t="inlineStr">
        <is>
          <t>KRCF-2026-044</t>
        </is>
      </c>
      <c r="B45" s="4" t="inlineStr">
        <is>
          <t>2026 Spring</t>
        </is>
      </c>
      <c r="C45" s="4" t="inlineStr">
        <is>
          <t>2026-04-29</t>
        </is>
      </c>
      <c r="D45" s="4" t="inlineStr">
        <is>
          <t>Carrick Water Angling Club</t>
        </is>
      </c>
      <c r="E45" s="4" t="inlineStr">
        <is>
          <t>Carrick Water</t>
        </is>
      </c>
      <c r="F45" s="4" t="inlineStr">
        <is>
          <t>Environment</t>
        </is>
      </c>
      <c r="G45" s="4" t="inlineStr">
        <is>
          <t>Riverbank restoration</t>
        </is>
      </c>
      <c r="H45" s="5" t="n">
        <v>5000</v>
      </c>
      <c r="I45" s="4" t="inlineStr">
        <is>
          <t>Paid</t>
        </is>
      </c>
    </row>
    <row r="46">
      <c r="A46" s="2" t="inlineStr">
        <is>
          <t>KRCF-2026-045</t>
        </is>
      </c>
      <c r="B46" s="2" t="inlineStr">
        <is>
          <t>2026 Spring</t>
        </is>
      </c>
      <c r="C46" s="2" t="inlineStr">
        <is>
          <t>2026-04-29</t>
        </is>
      </c>
      <c r="D46" s="2" t="inlineStr">
        <is>
          <t>Glenhope &amp; District Defibrillator Group</t>
        </is>
      </c>
      <c r="E46" s="2" t="inlineStr">
        <is>
          <t>Glenhope</t>
        </is>
      </c>
      <c r="F46" s="2" t="inlineStr">
        <is>
          <t>Safety</t>
        </is>
      </c>
      <c r="G46" s="2" t="inlineStr">
        <is>
          <t>Three public-access defibrillators</t>
        </is>
      </c>
      <c r="H46" s="3" t="n">
        <v>2500</v>
      </c>
      <c r="I46" s="2" t="inlineStr">
        <is>
          <t>Paid</t>
        </is>
      </c>
    </row>
    <row r="47">
      <c r="A47" s="4" t="inlineStr">
        <is>
          <t>KRCF-2026-046</t>
        </is>
      </c>
      <c r="B47" s="4" t="inlineStr">
        <is>
          <t>2026 Spring</t>
        </is>
      </c>
      <c r="C47" s="4" t="inlineStr">
        <is>
          <t>2026-04-29</t>
        </is>
      </c>
      <c r="D47" s="4" t="inlineStr">
        <is>
          <t>Lowmoor Youth Football Club</t>
        </is>
      </c>
      <c r="E47" s="4" t="inlineStr">
        <is>
          <t>Lowmoor</t>
        </is>
      </c>
      <c r="F47" s="4" t="inlineStr">
        <is>
          <t>Sport &amp; health</t>
        </is>
      </c>
      <c r="G47" s="4" t="inlineStr">
        <is>
          <t>Kit and pitch drainage</t>
        </is>
      </c>
      <c r="H47" s="5" t="n">
        <v>24000</v>
      </c>
      <c r="I47" s="4" t="inlineStr">
        <is>
          <t>Awaiting report</t>
        </is>
      </c>
    </row>
    <row r="48">
      <c r="A48" s="2" t="inlineStr">
        <is>
          <t>KRCF-2026-047</t>
        </is>
      </c>
      <c r="B48" s="2" t="inlineStr">
        <is>
          <t>2026 Spring</t>
        </is>
      </c>
      <c r="C48" s="2" t="inlineStr">
        <is>
          <t>2026-04-29</t>
        </is>
      </c>
      <c r="D48" s="2" t="inlineStr">
        <is>
          <t>Carrick Water Men's Shed</t>
        </is>
      </c>
      <c r="E48" s="2" t="inlineStr">
        <is>
          <t>Carrick Water</t>
        </is>
      </c>
      <c r="F48" s="2" t="inlineStr">
        <is>
          <t>Wellbeing</t>
        </is>
      </c>
      <c r="G48" s="2" t="inlineStr">
        <is>
          <t>Workshop tools and dust extraction</t>
        </is>
      </c>
      <c r="H48" s="3" t="n">
        <v>9500</v>
      </c>
      <c r="I48" s="2" t="inlineStr">
        <is>
          <t>Paid</t>
        </is>
      </c>
    </row>
    <row r="49">
      <c r="A49" s="4" t="inlineStr">
        <is>
          <t>KRCF-2026-048</t>
        </is>
      </c>
      <c r="B49" s="4" t="inlineStr">
        <is>
          <t>2026 Spring</t>
        </is>
      </c>
      <c r="C49" s="4" t="inlineStr">
        <is>
          <t>2026-04-29</t>
        </is>
      </c>
      <c r="D49" s="4" t="inlineStr">
        <is>
          <t>Lowmoor Food Larder</t>
        </is>
      </c>
      <c r="E49" s="4" t="inlineStr">
        <is>
          <t>Lowmoor</t>
        </is>
      </c>
      <c r="F49" s="4" t="inlineStr">
        <is>
          <t>Wellbeing</t>
        </is>
      </c>
      <c r="G49" s="4" t="inlineStr">
        <is>
          <t>Freezer and running costs</t>
        </is>
      </c>
      <c r="H49" s="5" t="n">
        <v>24000</v>
      </c>
      <c r="I49" s="4" t="inlineStr">
        <is>
          <t>Paid</t>
        </is>
      </c>
    </row>
    <row r="50">
      <c r="A50" s="2" t="inlineStr">
        <is>
          <t>KRCF-2026-049</t>
        </is>
      </c>
      <c r="B50" s="2" t="inlineStr">
        <is>
          <t>2026 Spring</t>
        </is>
      </c>
      <c r="C50" s="2" t="inlineStr">
        <is>
          <t>2026-04-29</t>
        </is>
      </c>
      <c r="D50" s="2" t="inlineStr">
        <is>
          <t>Ridge Riders Cycling Club</t>
        </is>
      </c>
      <c r="E50" s="2" t="inlineStr">
        <is>
          <t>Bankhead</t>
        </is>
      </c>
      <c r="F50" s="2" t="inlineStr">
        <is>
          <t>Sport &amp; health</t>
        </is>
      </c>
      <c r="G50" s="2" t="inlineStr">
        <is>
          <t>Youth bike maintenance courses</t>
        </is>
      </c>
      <c r="H50" s="3" t="n">
        <v>15000</v>
      </c>
      <c r="I50" s="2" t="inlineStr">
        <is>
          <t>Paid</t>
        </is>
      </c>
    </row>
    <row r="51">
      <c r="A51" s="4" t="inlineStr">
        <is>
          <t>KRCF-2026-050</t>
        </is>
      </c>
      <c r="B51" s="4" t="inlineStr">
        <is>
          <t>2026 Spring</t>
        </is>
      </c>
      <c r="C51" s="4" t="inlineStr">
        <is>
          <t>2026-04-29</t>
        </is>
      </c>
      <c r="D51" s="4" t="inlineStr">
        <is>
          <t>Glenhope Village Hall Committee</t>
        </is>
      </c>
      <c r="E51" s="4" t="inlineStr">
        <is>
          <t>Glenhope</t>
        </is>
      </c>
      <c r="F51" s="4" t="inlineStr">
        <is>
          <t>Energy efficiency</t>
        </is>
      </c>
      <c r="G51" s="4" t="inlineStr">
        <is>
          <t>Window replacement and loft insulation</t>
        </is>
      </c>
      <c r="H51" s="5" t="n">
        <v>24000</v>
      </c>
      <c r="I51" s="4" t="inlineStr">
        <is>
          <t>Awaiting report</t>
        </is>
      </c>
    </row>
    <row r="52">
      <c r="A52" s="2" t="inlineStr">
        <is>
          <t>KRCF-2026-051</t>
        </is>
      </c>
      <c r="B52" s="2" t="inlineStr">
        <is>
          <t>2026 Spring</t>
        </is>
      </c>
      <c r="C52" s="2" t="inlineStr">
        <is>
          <t>2026-04-29</t>
        </is>
      </c>
      <c r="D52" s="2" t="inlineStr">
        <is>
          <t>Lowmoor Primary School Parent Council</t>
        </is>
      </c>
      <c r="E52" s="2" t="inlineStr">
        <is>
          <t>Lowmoor</t>
        </is>
      </c>
      <c r="F52" s="2" t="inlineStr">
        <is>
          <t>Young people</t>
        </is>
      </c>
      <c r="G52" s="2" t="inlineStr">
        <is>
          <t>Outdoor classroom</t>
        </is>
      </c>
      <c r="H52" s="3" t="n">
        <v>12000</v>
      </c>
      <c r="I52" s="2" t="inlineStr">
        <is>
          <t>Paid in instalments</t>
        </is>
      </c>
    </row>
    <row r="53">
      <c r="A53" s="4" t="inlineStr">
        <is>
          <t>KRCF-2026-052</t>
        </is>
      </c>
      <c r="B53" s="4" t="inlineStr">
        <is>
          <t>2026 Spring</t>
        </is>
      </c>
      <c r="C53" s="4" t="inlineStr">
        <is>
          <t>2026-04-29</t>
        </is>
      </c>
      <c r="D53" s="4" t="inlineStr">
        <is>
          <t>Borders Home Energy Advice</t>
        </is>
      </c>
      <c r="E53" s="4" t="inlineStr">
        <is>
          <t>All</t>
        </is>
      </c>
      <c r="F53" s="4" t="inlineStr">
        <is>
          <t>Energy efficiency</t>
        </is>
      </c>
      <c r="G53" s="4" t="inlineStr">
        <is>
          <t>Household energy grants scheme</t>
        </is>
      </c>
      <c r="H53" s="5" t="n">
        <v>40000</v>
      </c>
      <c r="I53" s="4" t="inlineStr">
        <is>
          <t>Paid</t>
        </is>
      </c>
    </row>
  </sheetData>
  <autoFilter ref="A1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24" customWidth="1" min="4" max="4"/>
    <col width="23" customWidth="1" min="5" max="5"/>
    <col width="17" customWidth="1" min="6" max="6"/>
    <col width="23" customWidth="1" min="7" max="7"/>
  </cols>
  <sheetData>
    <row r="1">
      <c r="A1" s="1" t="inlineStr">
        <is>
          <t>Round</t>
        </is>
      </c>
      <c r="B1" s="1" t="inlineStr">
        <is>
          <t>Grants</t>
        </is>
      </c>
      <c r="C1" s="1" t="inlineStr">
        <is>
          <t>Awarded (GBP)</t>
        </is>
      </c>
      <c r="D1" s="1" t="inlineStr">
        <is>
          <t>Budget for round (GBP)</t>
        </is>
      </c>
      <c r="E1" s="1" t="inlineStr">
        <is>
          <t>Brought forward (GBP)</t>
        </is>
      </c>
      <c r="F1" s="1" t="inlineStr">
        <is>
          <t>Available (GBP)</t>
        </is>
      </c>
      <c r="G1" s="1" t="inlineStr">
        <is>
          <t>Carried forward (GBP)</t>
        </is>
      </c>
    </row>
    <row r="2">
      <c r="A2" s="2" t="inlineStr">
        <is>
          <t>2024 Autumn</t>
        </is>
      </c>
      <c r="B2" s="2">
        <f>COUNTIF(Grants!B:B,A2)</f>
        <v/>
      </c>
      <c r="C2" s="3">
        <f>SUMIF(Grants!B:B,A2,Grants!H:H)</f>
        <v/>
      </c>
      <c r="D2" s="3" t="n">
        <v>150000</v>
      </c>
      <c r="E2" s="3" t="n">
        <v>0</v>
      </c>
      <c r="F2" s="3">
        <f>D2+E2</f>
        <v/>
      </c>
      <c r="G2" s="3">
        <f>F2-C2</f>
        <v/>
      </c>
    </row>
    <row r="3">
      <c r="A3" s="4" t="inlineStr">
        <is>
          <t>2025 Spring</t>
        </is>
      </c>
      <c r="B3" s="4">
        <f>COUNTIF(Grants!B:B,A3)</f>
        <v/>
      </c>
      <c r="C3" s="5">
        <f>SUMIF(Grants!B:B,A3,Grants!H:H)</f>
        <v/>
      </c>
      <c r="D3" s="5" t="n">
        <v>189000</v>
      </c>
      <c r="E3" s="5">
        <f>G2</f>
        <v/>
      </c>
      <c r="F3" s="5">
        <f>D3+E3</f>
        <v/>
      </c>
      <c r="G3" s="5">
        <f>F3-C3</f>
        <v/>
      </c>
    </row>
    <row r="4">
      <c r="A4" s="2" t="inlineStr">
        <is>
          <t>2025 Autumn</t>
        </is>
      </c>
      <c r="B4" s="2">
        <f>COUNTIF(Grants!B:B,A4)</f>
        <v/>
      </c>
      <c r="C4" s="3">
        <f>SUMIF(Grants!B:B,A4,Grants!H:H)</f>
        <v/>
      </c>
      <c r="D4" s="3" t="n">
        <v>189000</v>
      </c>
      <c r="E4" s="3">
        <f>G3</f>
        <v/>
      </c>
      <c r="F4" s="3">
        <f>D4+E4</f>
        <v/>
      </c>
      <c r="G4" s="3">
        <f>F4-C4</f>
        <v/>
      </c>
    </row>
    <row r="5">
      <c r="A5" s="4" t="inlineStr">
        <is>
          <t>2026 Spring</t>
        </is>
      </c>
      <c r="B5" s="4">
        <f>COUNTIF(Grants!B:B,A5)</f>
        <v/>
      </c>
      <c r="C5" s="5">
        <f>SUMIF(Grants!B:B,A5,Grants!H:H)</f>
        <v/>
      </c>
      <c r="D5" s="5" t="n">
        <v>189000</v>
      </c>
      <c r="E5" s="5">
        <f>G4</f>
        <v/>
      </c>
      <c r="F5" s="5">
        <f>D5+E5</f>
        <v/>
      </c>
      <c r="G5" s="5">
        <f>F5-C5</f>
        <v/>
      </c>
    </row>
    <row r="6">
      <c r="A6" s="2" t="inlineStr">
        <is>
          <t>Total</t>
        </is>
      </c>
      <c r="B6" s="2">
        <f>SUM(B2:B5)</f>
        <v/>
      </c>
      <c r="C6" s="3">
        <f>SUM(C2:C5)</f>
        <v/>
      </c>
      <c r="D6" s="3">
        <f>SUM(D2:D5)</f>
        <v/>
      </c>
      <c r="E6" s="3" t="inlineStr"/>
      <c r="F6" s="3" t="inlineStr"/>
      <c r="G6" s="3">
        <f>G5</f>
        <v/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Berger</dc:creator>
  <dcterms:created xmlns:dcterms="http://purl.org/dc/terms/" xmlns:xsi="http://www.w3.org/2001/XMLSchema-instance" xsi:type="dcterms:W3CDTF">2024-11-28T10:00:00Z</dcterms:created>
  <dcterms:modified xmlns:dcterms="http://purl.org/dc/terms/" xmlns:xsi="http://www.w3.org/2001/XMLSchema-instance" xsi:type="dcterms:W3CDTF">2026-10-04T19:30:21Z</dcterms:modified>
  <cp:lastModifiedBy>Tom Berger</cp:lastModifiedBy>
</cp:coreProperties>
</file>