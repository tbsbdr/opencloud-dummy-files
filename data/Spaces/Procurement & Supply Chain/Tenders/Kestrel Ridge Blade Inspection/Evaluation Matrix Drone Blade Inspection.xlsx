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Price" sheetId="2" state="visible" r:id="rId2"/>
  </sheets>
  <definedNames>
    <definedName name="_xlnm._FilterDatabase" localSheetId="0" hidden="1">'Evaluation'!$A$1:$E$7</definedName>
    <definedName name="_xlnm._FilterDatabase" localSheetId="1" hidden="1">'Price'!$A$1:$D$4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9" fontId="1" fillId="0" borderId="1" pivotButton="0" quotePrefix="0" xfId="0"/>
    <xf numFmtId="2" fontId="1" fillId="0" borderId="1" pivotButton="0" quotePrefix="0" xfId="0"/>
    <xf numFmtId="0" fontId="1" fillId="3" borderId="1" pivotButton="0" quotePrefix="0" xfId="0"/>
    <xf numFmtId="9" fontId="1" fillId="3" borderId="1" pivotButton="0" quotePrefix="0" xfId="0"/>
    <xf numFmtId="2" fontId="1" fillId="3" borderId="1" pivotButton="0" quotePrefix="0" xfId="0"/>
    <xf numFmtId="4" fontId="1" fillId="0" borderId="1" pivotButton="0" quotePrefix="0" xfId="0"/>
    <xf numFmtId="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25" customWidth="1" min="3" max="3"/>
    <col width="22" customWidth="1" min="4" max="4"/>
    <col width="26" customWidth="1" min="5" max="5"/>
  </cols>
  <sheetData>
    <row r="1">
      <c r="A1" s="1" t="inlineStr">
        <is>
          <t>Criterion</t>
        </is>
      </c>
      <c r="B1" s="1" t="inlineStr">
        <is>
          <t>Weight</t>
        </is>
      </c>
      <c r="C1" s="1" t="inlineStr">
        <is>
          <t>SkyBlade Inspection Ltd</t>
        </is>
      </c>
      <c r="D1" s="1" t="inlineStr">
        <is>
          <t>AeroView Drones GmbH</t>
        </is>
      </c>
      <c r="E1" s="1" t="inlineStr">
        <is>
          <t>Scotia Aerial Inspection</t>
        </is>
      </c>
    </row>
    <row r="2">
      <c r="A2" s="2" t="inlineStr">
        <is>
          <t>Price (normalised)</t>
        </is>
      </c>
      <c r="B2" s="3" t="n">
        <v>0.4</v>
      </c>
      <c r="C2" s="4" t="n">
        <v>4.23</v>
      </c>
      <c r="D2" s="4" t="n">
        <v>3.93</v>
      </c>
      <c r="E2" s="4" t="n">
        <v>5</v>
      </c>
    </row>
    <row r="3">
      <c r="A3" s="5" t="inlineStr">
        <is>
          <t>Image quality and AI defect detection</t>
        </is>
      </c>
      <c r="B3" s="6" t="n">
        <v>0.3</v>
      </c>
      <c r="C3" s="7" t="n">
        <v>4.5</v>
      </c>
      <c r="D3" s="7" t="n">
        <v>4</v>
      </c>
      <c r="E3" s="7" t="n">
        <v>3</v>
      </c>
    </row>
    <row r="4">
      <c r="A4" s="2" t="inlineStr">
        <is>
          <t>Data platform and reporting</t>
        </is>
      </c>
      <c r="B4" s="3" t="n">
        <v>0.15</v>
      </c>
      <c r="C4" s="4" t="n">
        <v>4</v>
      </c>
      <c r="D4" s="4" t="n">
        <v>4.5</v>
      </c>
      <c r="E4" s="4" t="n">
        <v>2.5</v>
      </c>
    </row>
    <row r="5">
      <c r="A5" s="5" t="inlineStr">
        <is>
          <t>HSE and flight permits</t>
        </is>
      </c>
      <c r="B5" s="6" t="n">
        <v>0.15</v>
      </c>
      <c r="C5" s="7" t="n">
        <v>4</v>
      </c>
      <c r="D5" s="7" t="n">
        <v>4</v>
      </c>
      <c r="E5" s="7" t="n">
        <v>3.5</v>
      </c>
    </row>
    <row r="6">
      <c r="A6" s="2" t="inlineStr">
        <is>
          <t>Weighted total (0–5)</t>
        </is>
      </c>
      <c r="B6" s="3">
        <f>SUM(B2:B5)</f>
        <v/>
      </c>
      <c r="C6" s="4">
        <f>SUMPRODUCT($B$2:$B$5,C2:C5)</f>
        <v/>
      </c>
      <c r="D6" s="4">
        <f>SUMPRODUCT($B$2:$B$5,D2:D5)</f>
        <v/>
      </c>
      <c r="E6" s="4">
        <f>SUMPRODUCT($B$2:$B$5,E2:E5)</f>
        <v/>
      </c>
    </row>
    <row r="7">
      <c r="A7" s="5" t="inlineStr">
        <is>
          <t>Score in %</t>
        </is>
      </c>
      <c r="B7" s="6" t="inlineStr"/>
      <c r="C7" s="7">
        <f>C6/5</f>
        <v/>
      </c>
      <c r="D7" s="7">
        <f>D6/5</f>
        <v/>
      </c>
      <c r="E7" s="7">
        <f>E6/5</f>
        <v/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30" customWidth="1" min="3" max="3"/>
    <col width="9" customWidth="1" min="4" max="4"/>
  </cols>
  <sheetData>
    <row r="1">
      <c r="A1" s="1" t="inlineStr">
        <is>
          <t>Bidder</t>
        </is>
      </c>
      <c r="B1" s="1" t="inlineStr">
        <is>
          <t>Bid price (EUR m)</t>
        </is>
      </c>
      <c r="C1" s="1" t="inlineStr">
        <is>
          <t>Normalised price score (0–5)</t>
        </is>
      </c>
      <c r="D1" s="1" t="inlineStr">
        <is>
          <t>Remarks</t>
        </is>
      </c>
    </row>
    <row r="2">
      <c r="A2" s="2" t="inlineStr">
        <is>
          <t>SkyBlade Inspection Ltd</t>
        </is>
      </c>
      <c r="B2" s="8" t="n">
        <v>0.39</v>
      </c>
      <c r="C2" s="2">
        <f>ROUND(5*0.33/B2,2)</f>
        <v/>
      </c>
      <c r="D2" s="2" t="inlineStr"/>
    </row>
    <row r="3">
      <c r="A3" s="5" t="inlineStr">
        <is>
          <t>AeroView Drones GmbH</t>
        </is>
      </c>
      <c r="B3" s="9" t="n">
        <v>0.42</v>
      </c>
      <c r="C3" s="5">
        <f>ROUND(5*0.33/B3,2)</f>
        <v/>
      </c>
      <c r="D3" s="5" t="inlineStr"/>
    </row>
    <row r="4">
      <c r="A4" s="2" t="inlineStr">
        <is>
          <t>Scotia Aerial Inspection</t>
        </is>
      </c>
      <c r="B4" s="8" t="n">
        <v>0.33</v>
      </c>
      <c r="C4" s="2">
        <f>ROUND(5*0.33/B4,2)</f>
        <v/>
      </c>
      <c r="D4" s="2" t="inlineStr"/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Elena Márquez</dc:creator>
  <dcterms:created xmlns:dcterms="http://purl.org/dc/terms/" xmlns:xsi="http://www.w3.org/2001/XMLSchema-instance" xsi:type="dcterms:W3CDTF">2026-09-01T10:00:00Z</dcterms:created>
  <dcterms:modified xmlns:dcterms="http://purl.org/dc/terms/" xmlns:xsi="http://www.w3.org/2001/XMLSchema-instance" xsi:type="dcterms:W3CDTF">2026-10-04T19:30:42Z</dcterms:modified>
  <cp:lastModifiedBy>Elena Márquez</cp:lastModifiedBy>
</cp:coreProperties>
</file>