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payments" sheetId="1" state="visible" r:id="rId1"/>
    <sheet xmlns:r="http://schemas.openxmlformats.org/officeDocument/2006/relationships" name="Lease terms" sheetId="2" state="visible" r:id="rId2"/>
  </sheets>
  <definedNames>
    <definedName name="_xlnm._FilterDatabase" localSheetId="0" hidden="1">'Quarterly payments'!$A$1:$H$31</definedName>
    <definedName name="_xlnm._FilterDatabase" localSheetId="1" hidden="1">'Lease terms'!$A$1:$F$4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4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4" fontId="1" fillId="3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16" customWidth="1" min="4" max="4"/>
    <col width="20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Quarter</t>
        </is>
      </c>
      <c r="B1" s="1" t="inlineStr">
        <is>
          <t>Landowner</t>
        </is>
      </c>
      <c r="C1" s="1" t="inlineStr">
        <is>
          <t>Turbines</t>
        </is>
      </c>
      <c r="D1" s="1" t="inlineStr">
        <is>
          <t>Base rent (GBP)</t>
        </is>
      </c>
      <c r="E1" s="1" t="inlineStr">
        <is>
          <t>Generation share (MWh)</t>
        </is>
      </c>
      <c r="F1" s="1" t="inlineStr">
        <is>
          <t>Royalty (GBP)</t>
        </is>
      </c>
      <c r="G1" s="1" t="inlineStr">
        <is>
          <t>Total (GBP)</t>
        </is>
      </c>
      <c r="H1" s="1" t="inlineStr">
        <is>
          <t>Paid on</t>
        </is>
      </c>
    </row>
    <row r="2">
      <c r="A2" s="2" t="inlineStr">
        <is>
          <t>2024 Q2</t>
        </is>
      </c>
      <c r="B2" s="2" t="inlineStr">
        <is>
          <t>Hartside Farm</t>
        </is>
      </c>
      <c r="C2" s="2" t="n">
        <v>6</v>
      </c>
      <c r="D2" s="3" t="n">
        <v>21750</v>
      </c>
      <c r="E2" s="4" t="n">
        <v>13667</v>
      </c>
      <c r="F2" s="3">
        <f>E2*1.1</f>
        <v/>
      </c>
      <c r="G2" s="3">
        <f>D2+F2</f>
        <v/>
      </c>
      <c r="H2" s="2" t="inlineStr">
        <is>
          <t>2024-07-15</t>
        </is>
      </c>
    </row>
    <row r="3">
      <c r="A3" s="5" t="inlineStr">
        <is>
          <t>2024 Q2</t>
        </is>
      </c>
      <c r="B3" s="5" t="inlineStr">
        <is>
          <t>Craigmuir Estate</t>
        </is>
      </c>
      <c r="C3" s="5" t="n">
        <v>7</v>
      </c>
      <c r="D3" s="6" t="n">
        <v>25375</v>
      </c>
      <c r="E3" s="7" t="n">
        <v>15944</v>
      </c>
      <c r="F3" s="6">
        <f>E3*1.1</f>
        <v/>
      </c>
      <c r="G3" s="6">
        <f>D3+F3</f>
        <v/>
      </c>
      <c r="H3" s="5" t="inlineStr">
        <is>
          <t>2024-07-15</t>
        </is>
      </c>
    </row>
    <row r="4">
      <c r="A4" s="2" t="inlineStr">
        <is>
          <t>2024 Q2</t>
        </is>
      </c>
      <c r="B4" s="2" t="inlineStr">
        <is>
          <t>Low Swinton Farm</t>
        </is>
      </c>
      <c r="C4" s="2" t="n">
        <v>5</v>
      </c>
      <c r="D4" s="3" t="n">
        <v>18125</v>
      </c>
      <c r="E4" s="4" t="n">
        <v>11389</v>
      </c>
      <c r="F4" s="3">
        <f>E4*1.1</f>
        <v/>
      </c>
      <c r="G4" s="3">
        <f>D4+F4</f>
        <v/>
      </c>
      <c r="H4" s="2" t="inlineStr">
        <is>
          <t>2024-07-15</t>
        </is>
      </c>
    </row>
    <row r="5">
      <c r="A5" s="5" t="inlineStr">
        <is>
          <t>2024 Q3</t>
        </is>
      </c>
      <c r="B5" s="5" t="inlineStr">
        <is>
          <t>Hartside Farm</t>
        </is>
      </c>
      <c r="C5" s="5" t="n">
        <v>6</v>
      </c>
      <c r="D5" s="6" t="n">
        <v>21750</v>
      </c>
      <c r="E5" s="7" t="n">
        <v>12467</v>
      </c>
      <c r="F5" s="6">
        <f>E5*1.1</f>
        <v/>
      </c>
      <c r="G5" s="6">
        <f>D5+F5</f>
        <v/>
      </c>
      <c r="H5" s="5" t="inlineStr">
        <is>
          <t>2024-10-15</t>
        </is>
      </c>
    </row>
    <row r="6">
      <c r="A6" s="2" t="inlineStr">
        <is>
          <t>2024 Q3</t>
        </is>
      </c>
      <c r="B6" s="2" t="inlineStr">
        <is>
          <t>Craigmuir Estate</t>
        </is>
      </c>
      <c r="C6" s="2" t="n">
        <v>7</v>
      </c>
      <c r="D6" s="3" t="n">
        <v>25375</v>
      </c>
      <c r="E6" s="4" t="n">
        <v>14544</v>
      </c>
      <c r="F6" s="3">
        <f>E6*1.1</f>
        <v/>
      </c>
      <c r="G6" s="3">
        <f>D6+F6</f>
        <v/>
      </c>
      <c r="H6" s="2" t="inlineStr">
        <is>
          <t>2024-10-15</t>
        </is>
      </c>
    </row>
    <row r="7">
      <c r="A7" s="5" t="inlineStr">
        <is>
          <t>2024 Q3</t>
        </is>
      </c>
      <c r="B7" s="5" t="inlineStr">
        <is>
          <t>Low Swinton Farm</t>
        </is>
      </c>
      <c r="C7" s="5" t="n">
        <v>5</v>
      </c>
      <c r="D7" s="6" t="n">
        <v>18125</v>
      </c>
      <c r="E7" s="7" t="n">
        <v>10389</v>
      </c>
      <c r="F7" s="6">
        <f>E7*1.1</f>
        <v/>
      </c>
      <c r="G7" s="6">
        <f>D7+F7</f>
        <v/>
      </c>
      <c r="H7" s="5" t="inlineStr">
        <is>
          <t>2024-10-15</t>
        </is>
      </c>
    </row>
    <row r="8">
      <c r="A8" s="2" t="inlineStr">
        <is>
          <t>2024 Q4</t>
        </is>
      </c>
      <c r="B8" s="2" t="inlineStr">
        <is>
          <t>Hartside Farm</t>
        </is>
      </c>
      <c r="C8" s="2" t="n">
        <v>6</v>
      </c>
      <c r="D8" s="3" t="n">
        <v>21750</v>
      </c>
      <c r="E8" s="4" t="n">
        <v>21933</v>
      </c>
      <c r="F8" s="3">
        <f>E8*1.1</f>
        <v/>
      </c>
      <c r="G8" s="3">
        <f>D8+F8</f>
        <v/>
      </c>
      <c r="H8" s="2" t="inlineStr">
        <is>
          <t>2025-01-15</t>
        </is>
      </c>
    </row>
    <row r="9">
      <c r="A9" s="5" t="inlineStr">
        <is>
          <t>2024 Q4</t>
        </is>
      </c>
      <c r="B9" s="5" t="inlineStr">
        <is>
          <t>Craigmuir Estate</t>
        </is>
      </c>
      <c r="C9" s="5" t="n">
        <v>7</v>
      </c>
      <c r="D9" s="6" t="n">
        <v>25375</v>
      </c>
      <c r="E9" s="7" t="n">
        <v>25589</v>
      </c>
      <c r="F9" s="6">
        <f>E9*1.1</f>
        <v/>
      </c>
      <c r="G9" s="6">
        <f>D9+F9</f>
        <v/>
      </c>
      <c r="H9" s="5" t="inlineStr">
        <is>
          <t>2025-01-15</t>
        </is>
      </c>
    </row>
    <row r="10">
      <c r="A10" s="2" t="inlineStr">
        <is>
          <t>2024 Q4</t>
        </is>
      </c>
      <c r="B10" s="2" t="inlineStr">
        <is>
          <t>Low Swinton Farm</t>
        </is>
      </c>
      <c r="C10" s="2" t="n">
        <v>5</v>
      </c>
      <c r="D10" s="3" t="n">
        <v>18125</v>
      </c>
      <c r="E10" s="4" t="n">
        <v>18278</v>
      </c>
      <c r="F10" s="3">
        <f>E10*1.1</f>
        <v/>
      </c>
      <c r="G10" s="3">
        <f>D10+F10</f>
        <v/>
      </c>
      <c r="H10" s="2" t="inlineStr">
        <is>
          <t>2025-01-15</t>
        </is>
      </c>
    </row>
    <row r="11">
      <c r="A11" s="5" t="inlineStr">
        <is>
          <t>2025 Q1</t>
        </is>
      </c>
      <c r="B11" s="5" t="inlineStr">
        <is>
          <t>Hartside Farm</t>
        </is>
      </c>
      <c r="C11" s="5" t="n">
        <v>6</v>
      </c>
      <c r="D11" s="6" t="n">
        <v>21750</v>
      </c>
      <c r="E11" s="7" t="n">
        <v>21433</v>
      </c>
      <c r="F11" s="6">
        <f>E11*1.1</f>
        <v/>
      </c>
      <c r="G11" s="6">
        <f>D11+F11</f>
        <v/>
      </c>
      <c r="H11" s="5" t="inlineStr">
        <is>
          <t>2025-04-15</t>
        </is>
      </c>
    </row>
    <row r="12">
      <c r="A12" s="2" t="inlineStr">
        <is>
          <t>2025 Q1</t>
        </is>
      </c>
      <c r="B12" s="2" t="inlineStr">
        <is>
          <t>Craigmuir Estate</t>
        </is>
      </c>
      <c r="C12" s="2" t="n">
        <v>7</v>
      </c>
      <c r="D12" s="3" t="n">
        <v>25375</v>
      </c>
      <c r="E12" s="4" t="n">
        <v>25006</v>
      </c>
      <c r="F12" s="3">
        <f>E12*1.1</f>
        <v/>
      </c>
      <c r="G12" s="3">
        <f>D12+F12</f>
        <v/>
      </c>
      <c r="H12" s="2" t="inlineStr">
        <is>
          <t>2025-04-15</t>
        </is>
      </c>
    </row>
    <row r="13">
      <c r="A13" s="5" t="inlineStr">
        <is>
          <t>2025 Q1</t>
        </is>
      </c>
      <c r="B13" s="5" t="inlineStr">
        <is>
          <t>Low Swinton Farm</t>
        </is>
      </c>
      <c r="C13" s="5" t="n">
        <v>5</v>
      </c>
      <c r="D13" s="6" t="n">
        <v>18125</v>
      </c>
      <c r="E13" s="7" t="n">
        <v>17861</v>
      </c>
      <c r="F13" s="6">
        <f>E13*1.1</f>
        <v/>
      </c>
      <c r="G13" s="6">
        <f>D13+F13</f>
        <v/>
      </c>
      <c r="H13" s="5" t="inlineStr">
        <is>
          <t>2025-04-15</t>
        </is>
      </c>
    </row>
    <row r="14">
      <c r="A14" s="2" t="inlineStr">
        <is>
          <t>2025 Q2</t>
        </is>
      </c>
      <c r="B14" s="2" t="inlineStr">
        <is>
          <t>Hartside Farm</t>
        </is>
      </c>
      <c r="C14" s="2" t="n">
        <v>6</v>
      </c>
      <c r="D14" s="3" t="n">
        <v>21750</v>
      </c>
      <c r="E14" s="4" t="n">
        <v>13467</v>
      </c>
      <c r="F14" s="3">
        <f>E14*1.1</f>
        <v/>
      </c>
      <c r="G14" s="3">
        <f>D14+F14</f>
        <v/>
      </c>
      <c r="H14" s="2" t="inlineStr">
        <is>
          <t>2025-07-15</t>
        </is>
      </c>
    </row>
    <row r="15">
      <c r="A15" s="5" t="inlineStr">
        <is>
          <t>2025 Q2</t>
        </is>
      </c>
      <c r="B15" s="5" t="inlineStr">
        <is>
          <t>Craigmuir Estate</t>
        </is>
      </c>
      <c r="C15" s="5" t="n">
        <v>7</v>
      </c>
      <c r="D15" s="6" t="n">
        <v>25375</v>
      </c>
      <c r="E15" s="7" t="n">
        <v>15711</v>
      </c>
      <c r="F15" s="6">
        <f>E15*1.1</f>
        <v/>
      </c>
      <c r="G15" s="6">
        <f>D15+F15</f>
        <v/>
      </c>
      <c r="H15" s="5" t="inlineStr">
        <is>
          <t>2025-07-15</t>
        </is>
      </c>
    </row>
    <row r="16">
      <c r="A16" s="2" t="inlineStr">
        <is>
          <t>2025 Q2</t>
        </is>
      </c>
      <c r="B16" s="2" t="inlineStr">
        <is>
          <t>Low Swinton Farm</t>
        </is>
      </c>
      <c r="C16" s="2" t="n">
        <v>5</v>
      </c>
      <c r="D16" s="3" t="n">
        <v>18125</v>
      </c>
      <c r="E16" s="4" t="n">
        <v>11222</v>
      </c>
      <c r="F16" s="3">
        <f>E16*1.1</f>
        <v/>
      </c>
      <c r="G16" s="3">
        <f>D16+F16</f>
        <v/>
      </c>
      <c r="H16" s="2" t="inlineStr">
        <is>
          <t>2025-07-15</t>
        </is>
      </c>
    </row>
    <row r="17">
      <c r="A17" s="5" t="inlineStr">
        <is>
          <t>2025 Q3</t>
        </is>
      </c>
      <c r="B17" s="5" t="inlineStr">
        <is>
          <t>Hartside Farm</t>
        </is>
      </c>
      <c r="C17" s="5" t="n">
        <v>6</v>
      </c>
      <c r="D17" s="6" t="n">
        <v>21750</v>
      </c>
      <c r="E17" s="7" t="n">
        <v>12600</v>
      </c>
      <c r="F17" s="6">
        <f>E17*1.1</f>
        <v/>
      </c>
      <c r="G17" s="6">
        <f>D17+F17</f>
        <v/>
      </c>
      <c r="H17" s="5" t="inlineStr">
        <is>
          <t>2025-10-15</t>
        </is>
      </c>
    </row>
    <row r="18">
      <c r="A18" s="2" t="inlineStr">
        <is>
          <t>2025 Q3</t>
        </is>
      </c>
      <c r="B18" s="2" t="inlineStr">
        <is>
          <t>Craigmuir Estate</t>
        </is>
      </c>
      <c r="C18" s="2" t="n">
        <v>7</v>
      </c>
      <c r="D18" s="3" t="n">
        <v>25375</v>
      </c>
      <c r="E18" s="4" t="n">
        <v>14700</v>
      </c>
      <c r="F18" s="3">
        <f>E18*1.1</f>
        <v/>
      </c>
      <c r="G18" s="3">
        <f>D18+F18</f>
        <v/>
      </c>
      <c r="H18" s="2" t="inlineStr">
        <is>
          <t>2025-10-15</t>
        </is>
      </c>
    </row>
    <row r="19">
      <c r="A19" s="5" t="inlineStr">
        <is>
          <t>2025 Q3</t>
        </is>
      </c>
      <c r="B19" s="5" t="inlineStr">
        <is>
          <t>Low Swinton Farm</t>
        </is>
      </c>
      <c r="C19" s="5" t="n">
        <v>5</v>
      </c>
      <c r="D19" s="6" t="n">
        <v>18125</v>
      </c>
      <c r="E19" s="7" t="n">
        <v>10500</v>
      </c>
      <c r="F19" s="6">
        <f>E19*1.1</f>
        <v/>
      </c>
      <c r="G19" s="6">
        <f>D19+F19</f>
        <v/>
      </c>
      <c r="H19" s="5" t="inlineStr">
        <is>
          <t>2025-10-15</t>
        </is>
      </c>
    </row>
    <row r="20">
      <c r="A20" s="2" t="inlineStr">
        <is>
          <t>2025 Q4</t>
        </is>
      </c>
      <c r="B20" s="2" t="inlineStr">
        <is>
          <t>Hartside Farm</t>
        </is>
      </c>
      <c r="C20" s="2" t="n">
        <v>6</v>
      </c>
      <c r="D20" s="3" t="n">
        <v>21750</v>
      </c>
      <c r="E20" s="4" t="n">
        <v>21367</v>
      </c>
      <c r="F20" s="3">
        <f>E20*1.1</f>
        <v/>
      </c>
      <c r="G20" s="3">
        <f>D20+F20</f>
        <v/>
      </c>
      <c r="H20" s="2" t="inlineStr">
        <is>
          <t>2026-01-15</t>
        </is>
      </c>
    </row>
    <row r="21">
      <c r="A21" s="5" t="inlineStr">
        <is>
          <t>2025 Q4</t>
        </is>
      </c>
      <c r="B21" s="5" t="inlineStr">
        <is>
          <t>Craigmuir Estate</t>
        </is>
      </c>
      <c r="C21" s="5" t="n">
        <v>7</v>
      </c>
      <c r="D21" s="6" t="n">
        <v>25375</v>
      </c>
      <c r="E21" s="7" t="n">
        <v>24928</v>
      </c>
      <c r="F21" s="6">
        <f>E21*1.1</f>
        <v/>
      </c>
      <c r="G21" s="6">
        <f>D21+F21</f>
        <v/>
      </c>
      <c r="H21" s="5" t="inlineStr">
        <is>
          <t>2026-01-15</t>
        </is>
      </c>
    </row>
    <row r="22">
      <c r="A22" s="2" t="inlineStr">
        <is>
          <t>2025 Q4</t>
        </is>
      </c>
      <c r="B22" s="2" t="inlineStr">
        <is>
          <t>Low Swinton Farm</t>
        </is>
      </c>
      <c r="C22" s="2" t="n">
        <v>5</v>
      </c>
      <c r="D22" s="3" t="n">
        <v>18125</v>
      </c>
      <c r="E22" s="4" t="n">
        <v>17806</v>
      </c>
      <c r="F22" s="3">
        <f>E22*1.1</f>
        <v/>
      </c>
      <c r="G22" s="3">
        <f>D22+F22</f>
        <v/>
      </c>
      <c r="H22" s="2" t="inlineStr">
        <is>
          <t>2026-01-15</t>
        </is>
      </c>
    </row>
    <row r="23">
      <c r="A23" s="5" t="inlineStr">
        <is>
          <t>2026 Q1</t>
        </is>
      </c>
      <c r="B23" s="5" t="inlineStr">
        <is>
          <t>Hartside Farm</t>
        </is>
      </c>
      <c r="C23" s="5" t="n">
        <v>6</v>
      </c>
      <c r="D23" s="6" t="n">
        <v>21750</v>
      </c>
      <c r="E23" s="7" t="n">
        <v>22133</v>
      </c>
      <c r="F23" s="6">
        <f>E23*1.1</f>
        <v/>
      </c>
      <c r="G23" s="6">
        <f>D23+F23</f>
        <v/>
      </c>
      <c r="H23" s="5" t="inlineStr">
        <is>
          <t>2026-04-15</t>
        </is>
      </c>
    </row>
    <row r="24">
      <c r="A24" s="2" t="inlineStr">
        <is>
          <t>2026 Q1</t>
        </is>
      </c>
      <c r="B24" s="2" t="inlineStr">
        <is>
          <t>Craigmuir Estate</t>
        </is>
      </c>
      <c r="C24" s="2" t="n">
        <v>7</v>
      </c>
      <c r="D24" s="3" t="n">
        <v>25375</v>
      </c>
      <c r="E24" s="4" t="n">
        <v>24776</v>
      </c>
      <c r="F24" s="3">
        <f>E24*1.1</f>
        <v/>
      </c>
      <c r="G24" s="3">
        <f>D24+F24</f>
        <v/>
      </c>
      <c r="H24" s="2" t="inlineStr">
        <is>
          <t>2026-04-15</t>
        </is>
      </c>
    </row>
    <row r="25">
      <c r="A25" s="5" t="inlineStr">
        <is>
          <t>2026 Q1</t>
        </is>
      </c>
      <c r="B25" s="5" t="inlineStr">
        <is>
          <t>Low Swinton Farm</t>
        </is>
      </c>
      <c r="C25" s="5" t="n">
        <v>5</v>
      </c>
      <c r="D25" s="6" t="n">
        <v>18125</v>
      </c>
      <c r="E25" s="7" t="n">
        <v>18444</v>
      </c>
      <c r="F25" s="6">
        <f>E25*1.1</f>
        <v/>
      </c>
      <c r="G25" s="6">
        <f>D25+F25</f>
        <v/>
      </c>
      <c r="H25" s="5" t="inlineStr">
        <is>
          <t>2026-04-15</t>
        </is>
      </c>
    </row>
    <row r="26">
      <c r="A26" s="2" t="inlineStr">
        <is>
          <t>2026 Q2</t>
        </is>
      </c>
      <c r="B26" s="2" t="inlineStr">
        <is>
          <t>Hartside Farm</t>
        </is>
      </c>
      <c r="C26" s="2" t="n">
        <v>6</v>
      </c>
      <c r="D26" s="3" t="n">
        <v>21750</v>
      </c>
      <c r="E26" s="4" t="n">
        <v>13467</v>
      </c>
      <c r="F26" s="3">
        <f>E26*1.1</f>
        <v/>
      </c>
      <c r="G26" s="3">
        <f>D26+F26</f>
        <v/>
      </c>
      <c r="H26" s="2" t="inlineStr">
        <is>
          <t>2026-07-15</t>
        </is>
      </c>
    </row>
    <row r="27">
      <c r="A27" s="5" t="inlineStr">
        <is>
          <t>2026 Q2</t>
        </is>
      </c>
      <c r="B27" s="5" t="inlineStr">
        <is>
          <t>Craigmuir Estate</t>
        </is>
      </c>
      <c r="C27" s="5" t="n">
        <v>7</v>
      </c>
      <c r="D27" s="6" t="n">
        <v>25375</v>
      </c>
      <c r="E27" s="7" t="n">
        <v>15711</v>
      </c>
      <c r="F27" s="6">
        <f>E27*1.1</f>
        <v/>
      </c>
      <c r="G27" s="6">
        <f>D27+F27</f>
        <v/>
      </c>
      <c r="H27" s="5" t="inlineStr">
        <is>
          <t>2026-07-15</t>
        </is>
      </c>
    </row>
    <row r="28">
      <c r="A28" s="2" t="inlineStr">
        <is>
          <t>2026 Q2</t>
        </is>
      </c>
      <c r="B28" s="2" t="inlineStr">
        <is>
          <t>Low Swinton Farm</t>
        </is>
      </c>
      <c r="C28" s="2" t="n">
        <v>5</v>
      </c>
      <c r="D28" s="3" t="n">
        <v>18125</v>
      </c>
      <c r="E28" s="4" t="n">
        <v>11222</v>
      </c>
      <c r="F28" s="3">
        <f>E28*1.1</f>
        <v/>
      </c>
      <c r="G28" s="3">
        <f>D28+F28</f>
        <v/>
      </c>
      <c r="H28" s="2" t="inlineStr">
        <is>
          <t>2026-07-15</t>
        </is>
      </c>
    </row>
    <row r="29">
      <c r="A29" s="5" t="inlineStr">
        <is>
          <t>2026 Q3</t>
        </is>
      </c>
      <c r="B29" s="5" t="inlineStr">
        <is>
          <t>Hartside Farm</t>
        </is>
      </c>
      <c r="C29" s="5" t="n">
        <v>6</v>
      </c>
      <c r="D29" s="6" t="n">
        <v>21750</v>
      </c>
      <c r="E29" s="7" t="n">
        <v>12600</v>
      </c>
      <c r="F29" s="6">
        <f>E29*1.1</f>
        <v/>
      </c>
      <c r="G29" s="6">
        <f>D29+F29</f>
        <v/>
      </c>
      <c r="H29" s="5" t="inlineStr">
        <is>
          <t>due 2026-10-15</t>
        </is>
      </c>
    </row>
    <row r="30">
      <c r="A30" s="2" t="inlineStr">
        <is>
          <t>2026 Q3</t>
        </is>
      </c>
      <c r="B30" s="2" t="inlineStr">
        <is>
          <t>Craigmuir Estate</t>
        </is>
      </c>
      <c r="C30" s="2" t="n">
        <v>7</v>
      </c>
      <c r="D30" s="3" t="n">
        <v>25375</v>
      </c>
      <c r="E30" s="4" t="n">
        <v>14700</v>
      </c>
      <c r="F30" s="3">
        <f>E30*1.1</f>
        <v/>
      </c>
      <c r="G30" s="3">
        <f>D30+F30</f>
        <v/>
      </c>
      <c r="H30" s="2" t="inlineStr">
        <is>
          <t>due 2026-10-15</t>
        </is>
      </c>
    </row>
    <row r="31">
      <c r="A31" s="5" t="inlineStr">
        <is>
          <t>2026 Q3</t>
        </is>
      </c>
      <c r="B31" s="5" t="inlineStr">
        <is>
          <t>Low Swinton Farm</t>
        </is>
      </c>
      <c r="C31" s="5" t="n">
        <v>5</v>
      </c>
      <c r="D31" s="6" t="n">
        <v>18125</v>
      </c>
      <c r="E31" s="7" t="n">
        <v>10500</v>
      </c>
      <c r="F31" s="6">
        <f>E31*1.1</f>
        <v/>
      </c>
      <c r="G31" s="6">
        <f>D31+F31</f>
        <v/>
      </c>
      <c r="H31" s="5" t="inlineStr">
        <is>
          <t>due 2026-10-15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2" customWidth="1" min="3" max="3"/>
    <col width="26" customWidth="1" min="4" max="4"/>
    <col width="18" customWidth="1" min="5" max="5"/>
    <col width="14" customWidth="1" min="6" max="6"/>
  </cols>
  <sheetData>
    <row r="1">
      <c r="A1" s="1" t="inlineStr">
        <is>
          <t>Landowner</t>
        </is>
      </c>
      <c r="B1" s="1" t="inlineStr">
        <is>
          <t>Holding</t>
        </is>
      </c>
      <c r="C1" s="1" t="inlineStr">
        <is>
          <t>Turbines</t>
        </is>
      </c>
      <c r="D1" s="1" t="inlineStr">
        <is>
          <t>Base rent per turbine (GBP/yr)</t>
        </is>
      </c>
      <c r="E1" s="1" t="inlineStr">
        <is>
          <t>Royalty (GBP/MWh)</t>
        </is>
      </c>
      <c r="F1" s="1" t="inlineStr">
        <is>
          <t>Lease expiry</t>
        </is>
      </c>
    </row>
    <row r="2">
      <c r="A2" s="2" t="inlineStr">
        <is>
          <t>Hartside Farm (Alasdair and Morag Hume)</t>
        </is>
      </c>
      <c r="B2" s="2" t="inlineStr">
        <is>
          <t>Hartside Farm</t>
        </is>
      </c>
      <c r="C2" s="2" t="inlineStr">
        <is>
          <t>T-01 – T-06</t>
        </is>
      </c>
      <c r="D2" s="2" t="n">
        <v>14500</v>
      </c>
      <c r="E2" s="2" t="n">
        <v>1.1</v>
      </c>
      <c r="F2" s="2" t="inlineStr">
        <is>
          <t>2049-03-14</t>
        </is>
      </c>
    </row>
    <row r="3">
      <c r="A3" s="5" t="inlineStr">
        <is>
          <t>Craigmuir Estate (Craigmuir Estate Trustees)</t>
        </is>
      </c>
      <c r="B3" s="5" t="inlineStr">
        <is>
          <t>Craigmuir Estate</t>
        </is>
      </c>
      <c r="C3" s="5" t="inlineStr">
        <is>
          <t>T-07 – T-13</t>
        </is>
      </c>
      <c r="D3" s="5" t="n">
        <v>14500</v>
      </c>
      <c r="E3" s="5" t="n">
        <v>1.1</v>
      </c>
      <c r="F3" s="5" t="inlineStr">
        <is>
          <t>2049-03-14</t>
        </is>
      </c>
    </row>
    <row r="4">
      <c r="A4" s="2" t="inlineStr">
        <is>
          <t>Low Swinton Farm (Ewan Rutherford)</t>
        </is>
      </c>
      <c r="B4" s="2" t="inlineStr">
        <is>
          <t>Low Swinton Farm</t>
        </is>
      </c>
      <c r="C4" s="2" t="inlineStr">
        <is>
          <t>T-14 – T-18</t>
        </is>
      </c>
      <c r="D4" s="2" t="n">
        <v>14500</v>
      </c>
      <c r="E4" s="2" t="n">
        <v>1.1</v>
      </c>
      <c r="F4" s="2" t="inlineStr">
        <is>
          <t>2049-03-14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Chen</dc:creator>
  <dcterms:created xmlns:dcterms="http://purl.org/dc/terms/" xmlns:xsi="http://www.w3.org/2001/XMLSchema-instance" xsi:type="dcterms:W3CDTF">2024-07-01T10:00:00Z</dcterms:created>
  <dcterms:modified xmlns:dcterms="http://purl.org/dc/terms/" xmlns:xsi="http://www.w3.org/2001/XMLSchema-instance" xsi:type="dcterms:W3CDTF">2026-10-04T19:30:34Z</dcterms:modified>
  <cp:lastModifiedBy>David Chen</cp:lastModifiedBy>
</cp:coreProperties>
</file>