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Claim" sheetId="2" state="visible" r:id="rId2"/>
  </sheets>
  <definedNames>
    <definedName name="_xlnm._FilterDatabase" localSheetId="0" hidden="1">'Daily'!$A$1:$F$26</definedName>
    <definedName name="_xlnm._FilterDatabase" localSheetId="1" hidden="1">'Claim'!$A$1:$B$5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4" customWidth="1" min="4" max="4"/>
    <col width="2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Hours offline</t>
        </is>
      </c>
      <c r="C1" s="1" t="inlineStr">
        <is>
          <t>Site mean wind (m/s)</t>
        </is>
      </c>
      <c r="D1" s="1" t="inlineStr">
        <is>
          <t>Mean power T-06/T-08 (MW)</t>
        </is>
      </c>
      <c r="E1" s="1" t="inlineStr">
        <is>
          <t>Expected T-07 (MWh)</t>
        </is>
      </c>
      <c r="F1" s="1" t="inlineStr">
        <is>
          <t>Lost (MWh)</t>
        </is>
      </c>
    </row>
    <row r="2">
      <c r="A2" s="2" t="inlineStr">
        <is>
          <t>2026-01-14</t>
        </is>
      </c>
      <c r="B2" s="2" t="n">
        <v>20.3</v>
      </c>
      <c r="C2" s="2" t="n">
        <v>11.5</v>
      </c>
      <c r="D2" s="2" t="n">
        <v>2.66</v>
      </c>
      <c r="E2" s="3" t="n">
        <v>54</v>
      </c>
      <c r="F2" s="3">
        <f>E2</f>
        <v/>
      </c>
    </row>
    <row r="3">
      <c r="A3" s="4" t="inlineStr">
        <is>
          <t>2026-01-15</t>
        </is>
      </c>
      <c r="B3" s="4" t="n">
        <v>24</v>
      </c>
      <c r="C3" s="4" t="n">
        <v>10.8</v>
      </c>
      <c r="D3" s="4" t="n">
        <v>2.2</v>
      </c>
      <c r="E3" s="5" t="n">
        <v>52.8</v>
      </c>
      <c r="F3" s="5">
        <f>E3</f>
        <v/>
      </c>
    </row>
    <row r="4">
      <c r="A4" s="2" t="inlineStr">
        <is>
          <t>2026-01-16</t>
        </is>
      </c>
      <c r="B4" s="2" t="n">
        <v>24</v>
      </c>
      <c r="C4" s="2" t="n">
        <v>10.8</v>
      </c>
      <c r="D4" s="2" t="n">
        <v>2.2</v>
      </c>
      <c r="E4" s="3" t="n">
        <v>52.8</v>
      </c>
      <c r="F4" s="3">
        <f>E4</f>
        <v/>
      </c>
    </row>
    <row r="5">
      <c r="A5" s="4" t="inlineStr">
        <is>
          <t>2026-01-17</t>
        </is>
      </c>
      <c r="B5" s="4" t="n">
        <v>24</v>
      </c>
      <c r="C5" s="4" t="n">
        <v>11.6</v>
      </c>
      <c r="D5" s="4" t="n">
        <v>2.72</v>
      </c>
      <c r="E5" s="5" t="n">
        <v>65.3</v>
      </c>
      <c r="F5" s="5">
        <f>E5</f>
        <v/>
      </c>
    </row>
    <row r="6">
      <c r="A6" s="2" t="inlineStr">
        <is>
          <t>2026-01-18</t>
        </is>
      </c>
      <c r="B6" s="2" t="n">
        <v>24</v>
      </c>
      <c r="C6" s="2" t="n">
        <v>7.9</v>
      </c>
      <c r="D6" s="2" t="n">
        <v>0.79</v>
      </c>
      <c r="E6" s="3" t="n">
        <v>19</v>
      </c>
      <c r="F6" s="3">
        <f>E6</f>
        <v/>
      </c>
    </row>
    <row r="7">
      <c r="A7" s="4" t="inlineStr">
        <is>
          <t>2026-01-19</t>
        </is>
      </c>
      <c r="B7" s="4" t="n">
        <v>24</v>
      </c>
      <c r="C7" s="4" t="n">
        <v>8</v>
      </c>
      <c r="D7" s="4" t="n">
        <v>0.82</v>
      </c>
      <c r="E7" s="5" t="n">
        <v>19.7</v>
      </c>
      <c r="F7" s="5">
        <f>E7</f>
        <v/>
      </c>
    </row>
    <row r="8">
      <c r="A8" s="2" t="inlineStr">
        <is>
          <t>2026-01-20</t>
        </is>
      </c>
      <c r="B8" s="2" t="n">
        <v>24</v>
      </c>
      <c r="C8" s="2" t="n">
        <v>7.2</v>
      </c>
      <c r="D8" s="2" t="n">
        <v>0.57</v>
      </c>
      <c r="E8" s="3" t="n">
        <v>13.7</v>
      </c>
      <c r="F8" s="3">
        <f>E8</f>
        <v/>
      </c>
    </row>
    <row r="9">
      <c r="A9" s="4" t="inlineStr">
        <is>
          <t>2026-01-21</t>
        </is>
      </c>
      <c r="B9" s="4" t="n">
        <v>24</v>
      </c>
      <c r="C9" s="4" t="n">
        <v>7.1</v>
      </c>
      <c r="D9" s="4" t="n">
        <v>0.53</v>
      </c>
      <c r="E9" s="5" t="n">
        <v>12.7</v>
      </c>
      <c r="F9" s="5">
        <f>E9</f>
        <v/>
      </c>
    </row>
    <row r="10">
      <c r="A10" s="2" t="inlineStr">
        <is>
          <t>2026-01-22</t>
        </is>
      </c>
      <c r="B10" s="2" t="n">
        <v>24</v>
      </c>
      <c r="C10" s="2" t="n">
        <v>10.8</v>
      </c>
      <c r="D10" s="2" t="n">
        <v>2.2</v>
      </c>
      <c r="E10" s="3" t="n">
        <v>52.8</v>
      </c>
      <c r="F10" s="3">
        <f>E10</f>
        <v/>
      </c>
    </row>
    <row r="11">
      <c r="A11" s="4" t="inlineStr">
        <is>
          <t>2026-01-23</t>
        </is>
      </c>
      <c r="B11" s="4" t="n">
        <v>24</v>
      </c>
      <c r="C11" s="4" t="n">
        <v>10.2</v>
      </c>
      <c r="D11" s="4" t="n">
        <v>1.84</v>
      </c>
      <c r="E11" s="5" t="n">
        <v>44.2</v>
      </c>
      <c r="F11" s="5">
        <f>E11</f>
        <v/>
      </c>
    </row>
    <row r="12">
      <c r="A12" s="2" t="inlineStr">
        <is>
          <t>2026-01-24</t>
        </is>
      </c>
      <c r="B12" s="2" t="n">
        <v>24</v>
      </c>
      <c r="C12" s="2" t="n">
        <v>12.2</v>
      </c>
      <c r="D12" s="2" t="n">
        <v>3.16</v>
      </c>
      <c r="E12" s="3" t="n">
        <v>75.8</v>
      </c>
      <c r="F12" s="3">
        <f>E12</f>
        <v/>
      </c>
    </row>
    <row r="13">
      <c r="A13" s="4" t="inlineStr">
        <is>
          <t>2026-01-25</t>
        </is>
      </c>
      <c r="B13" s="4" t="n">
        <v>24</v>
      </c>
      <c r="C13" s="4" t="n">
        <v>7.9</v>
      </c>
      <c r="D13" s="4" t="n">
        <v>0.79</v>
      </c>
      <c r="E13" s="5" t="n">
        <v>19</v>
      </c>
      <c r="F13" s="5">
        <f>E13</f>
        <v/>
      </c>
    </row>
    <row r="14">
      <c r="A14" s="2" t="inlineStr">
        <is>
          <t>2026-01-26</t>
        </is>
      </c>
      <c r="B14" s="2" t="n">
        <v>24</v>
      </c>
      <c r="C14" s="2" t="n">
        <v>10.6</v>
      </c>
      <c r="D14" s="2" t="n">
        <v>2.07</v>
      </c>
      <c r="E14" s="3" t="n">
        <v>49.7</v>
      </c>
      <c r="F14" s="3">
        <f>E14</f>
        <v/>
      </c>
    </row>
    <row r="15">
      <c r="A15" s="4" t="inlineStr">
        <is>
          <t>2026-01-27</t>
        </is>
      </c>
      <c r="B15" s="4" t="n">
        <v>24</v>
      </c>
      <c r="C15" s="4" t="n">
        <v>9.300000000000001</v>
      </c>
      <c r="D15" s="4" t="n">
        <v>1.37</v>
      </c>
      <c r="E15" s="5" t="n">
        <v>32.9</v>
      </c>
      <c r="F15" s="5">
        <f>E15</f>
        <v/>
      </c>
    </row>
    <row r="16">
      <c r="A16" s="2" t="inlineStr">
        <is>
          <t>2026-01-28</t>
        </is>
      </c>
      <c r="B16" s="2" t="n">
        <v>24</v>
      </c>
      <c r="C16" s="2" t="n">
        <v>13.5</v>
      </c>
      <c r="D16" s="2" t="n">
        <v>3.35</v>
      </c>
      <c r="E16" s="3" t="n">
        <v>80.40000000000001</v>
      </c>
      <c r="F16" s="3">
        <f>E16</f>
        <v/>
      </c>
    </row>
    <row r="17">
      <c r="A17" s="4" t="inlineStr">
        <is>
          <t>2026-01-29</t>
        </is>
      </c>
      <c r="B17" s="4" t="n">
        <v>24</v>
      </c>
      <c r="C17" s="4" t="n">
        <v>10</v>
      </c>
      <c r="D17" s="4" t="n">
        <v>1.74</v>
      </c>
      <c r="E17" s="5" t="n">
        <v>41.8</v>
      </c>
      <c r="F17" s="5">
        <f>E17</f>
        <v/>
      </c>
    </row>
    <row r="18">
      <c r="A18" s="2" t="inlineStr">
        <is>
          <t>2026-01-30</t>
        </is>
      </c>
      <c r="B18" s="2" t="n">
        <v>24</v>
      </c>
      <c r="C18" s="2" t="n">
        <v>8.300000000000001</v>
      </c>
      <c r="D18" s="2" t="n">
        <v>0.9399999999999999</v>
      </c>
      <c r="E18" s="3" t="n">
        <v>22.6</v>
      </c>
      <c r="F18" s="3">
        <f>E18</f>
        <v/>
      </c>
    </row>
    <row r="19">
      <c r="A19" s="4" t="inlineStr">
        <is>
          <t>2026-01-31</t>
        </is>
      </c>
      <c r="B19" s="4" t="n">
        <v>24</v>
      </c>
      <c r="C19" s="4" t="n">
        <v>8.9</v>
      </c>
      <c r="D19" s="4" t="n">
        <v>1.19</v>
      </c>
      <c r="E19" s="5" t="n">
        <v>28.6</v>
      </c>
      <c r="F19" s="5">
        <f>E19</f>
        <v/>
      </c>
    </row>
    <row r="20">
      <c r="A20" s="2" t="inlineStr">
        <is>
          <t>2026-02-01</t>
        </is>
      </c>
      <c r="B20" s="2" t="n">
        <v>24</v>
      </c>
      <c r="C20" s="2" t="n">
        <v>12.6</v>
      </c>
      <c r="D20" s="2" t="n">
        <v>3.35</v>
      </c>
      <c r="E20" s="3" t="n">
        <v>80.40000000000001</v>
      </c>
      <c r="F20" s="3">
        <f>E20</f>
        <v/>
      </c>
    </row>
    <row r="21">
      <c r="A21" s="4" t="inlineStr">
        <is>
          <t>2026-02-02</t>
        </is>
      </c>
      <c r="B21" s="4" t="n">
        <v>24</v>
      </c>
      <c r="C21" s="4" t="n">
        <v>9.6</v>
      </c>
      <c r="D21" s="4" t="n">
        <v>1.52</v>
      </c>
      <c r="E21" s="5" t="n">
        <v>36.5</v>
      </c>
      <c r="F21" s="5">
        <f>E21</f>
        <v/>
      </c>
    </row>
    <row r="22">
      <c r="A22" s="2" t="inlineStr">
        <is>
          <t>2026-02-03</t>
        </is>
      </c>
      <c r="B22" s="2" t="n">
        <v>24</v>
      </c>
      <c r="C22" s="2" t="n">
        <v>10.1</v>
      </c>
      <c r="D22" s="2" t="n">
        <v>1.78</v>
      </c>
      <c r="E22" s="3" t="n">
        <v>42.7</v>
      </c>
      <c r="F22" s="3">
        <f>E22</f>
        <v/>
      </c>
    </row>
    <row r="23">
      <c r="A23" s="4" t="inlineStr">
        <is>
          <t>2026-02-04</t>
        </is>
      </c>
      <c r="B23" s="4" t="n">
        <v>24</v>
      </c>
      <c r="C23" s="4" t="n">
        <v>10.7</v>
      </c>
      <c r="D23" s="4" t="n">
        <v>2.14</v>
      </c>
      <c r="E23" s="5" t="n">
        <v>51.4</v>
      </c>
      <c r="F23" s="5">
        <f>E23</f>
        <v/>
      </c>
    </row>
    <row r="24">
      <c r="A24" s="2" t="inlineStr">
        <is>
          <t>2026-02-05</t>
        </is>
      </c>
      <c r="B24" s="2" t="n">
        <v>24</v>
      </c>
      <c r="C24" s="2" t="n">
        <v>12.6</v>
      </c>
      <c r="D24" s="2" t="n">
        <v>3.35</v>
      </c>
      <c r="E24" s="3" t="n">
        <v>80.40000000000001</v>
      </c>
      <c r="F24" s="3">
        <f>E24</f>
        <v/>
      </c>
    </row>
    <row r="25">
      <c r="A25" s="4" t="inlineStr">
        <is>
          <t>2026-02-06</t>
        </is>
      </c>
      <c r="B25" s="4" t="n">
        <v>14.33</v>
      </c>
      <c r="C25" s="4" t="n">
        <v>9</v>
      </c>
      <c r="D25" s="4" t="n">
        <v>1.24</v>
      </c>
      <c r="E25" s="5" t="n">
        <v>17.8</v>
      </c>
      <c r="F25" s="5">
        <f>E25</f>
        <v/>
      </c>
    </row>
    <row r="26">
      <c r="A26" s="2" t="inlineStr">
        <is>
          <t>Total</t>
        </is>
      </c>
      <c r="B26" s="2">
        <f>SUM(B2:B25)</f>
        <v/>
      </c>
      <c r="C26" s="2" t="inlineStr"/>
      <c r="D26" s="2" t="inlineStr"/>
      <c r="E26" s="3">
        <f>SUM(E2:E25)</f>
        <v/>
      </c>
      <c r="F26" s="3">
        <f>SUM(F2:F25)</f>
        <v/>
      </c>
    </row>
  </sheetData>
  <autoFilter ref="A1:F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Lost production (MWh)</t>
        </is>
      </c>
      <c r="B2" s="2" t="n">
        <v>1046</v>
      </c>
    </row>
    <row r="3">
      <c r="A3" s="4" t="inlineStr">
        <is>
          <t>Average achieved price (GBP/MWh)</t>
        </is>
      </c>
      <c r="B3" s="4" t="n">
        <v>74.2</v>
      </c>
    </row>
    <row r="4">
      <c r="A4" s="2" t="inlineStr">
        <is>
          <t>Lost revenue (GBP)</t>
        </is>
      </c>
      <c r="B4" s="2">
        <f>B2*B3</f>
        <v/>
      </c>
    </row>
    <row r="5">
      <c r="A5" s="4" t="inlineStr">
        <is>
          <t>Method</t>
        </is>
      </c>
      <c r="B5" s="4" t="inlineStr">
        <is>
          <t>Reference turbines T-06 and T-08 (same row, similar wake situation), 10-min data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Chen</dc:creator>
  <dcterms:created xmlns:dcterms="http://purl.org/dc/terms/" xmlns:xsi="http://www.w3.org/2001/XMLSchema-instance" xsi:type="dcterms:W3CDTF">2026-02-09T10:00:00Z</dcterms:created>
  <dcterms:modified xmlns:dcterms="http://purl.org/dc/terms/" xmlns:xsi="http://www.w3.org/2001/XMLSchema-instance" xsi:type="dcterms:W3CDTF">2026-10-04T19:30:34Z</dcterms:modified>
  <cp:lastModifiedBy>David Chen</cp:lastModifiedBy>
</cp:coreProperties>
</file>