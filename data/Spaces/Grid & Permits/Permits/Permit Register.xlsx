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By project" sheetId="2" state="visible" r:id="rId2"/>
  </sheets>
  <definedNames>
    <definedName name="_xlnm._FilterDatabase" localSheetId="0" hidden="1">'Register'!$A$1:$J$27</definedName>
    <definedName name="_xlnm._FilterDatabase" localSheetId="1" hidden="1">'By project'!$A$1:$D$6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4" customWidth="1" min="3" max="3"/>
    <col width="32" customWidth="1" min="4" max="4"/>
    <col width="18" customWidth="1" min="5" max="5"/>
    <col width="12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1" t="inlineStr">
        <is>
          <t>Permit ID</t>
        </is>
      </c>
      <c r="B1" s="1" t="inlineStr">
        <is>
          <t>Project</t>
        </is>
      </c>
      <c r="C1" s="1" t="inlineStr">
        <is>
          <t>Permit / consent</t>
        </is>
      </c>
      <c r="D1" s="1" t="inlineStr">
        <is>
          <t>Authority</t>
        </is>
      </c>
      <c r="E1" s="1" t="inlineStr">
        <is>
          <t>Reference</t>
        </is>
      </c>
      <c r="F1" s="1" t="inlineStr">
        <is>
          <t>Granted</t>
        </is>
      </c>
      <c r="G1" s="1" t="inlineStr">
        <is>
          <t>Expiry</t>
        </is>
      </c>
      <c r="H1" s="1" t="inlineStr">
        <is>
          <t>Status</t>
        </is>
      </c>
      <c r="I1" s="1" t="inlineStr">
        <is>
          <t>Owner</t>
        </is>
      </c>
      <c r="J1" s="1" t="inlineStr">
        <is>
          <t>Next review</t>
        </is>
      </c>
    </row>
    <row r="2">
      <c r="A2" s="2" t="inlineStr">
        <is>
          <t>PRM-001</t>
        </is>
      </c>
      <c r="B2" s="2" t="inlineStr">
        <is>
          <t>Harrow Bay</t>
        </is>
      </c>
      <c r="C2" s="2" t="inlineStr">
        <is>
          <t>Development Consent Order</t>
        </is>
      </c>
      <c r="D2" s="2" t="inlineStr">
        <is>
          <t>Secretary of State (Energy)</t>
        </is>
      </c>
      <c r="E2" s="2" t="inlineStr">
        <is>
          <t>HB-DCO-2023</t>
        </is>
      </c>
      <c r="F2" s="2" t="inlineStr">
        <is>
          <t>2023-11-20</t>
        </is>
      </c>
      <c r="G2" s="2" t="inlineStr">
        <is>
          <t>—</t>
        </is>
      </c>
      <c r="H2" s="2" t="inlineStr">
        <is>
          <t>Granted</t>
        </is>
      </c>
      <c r="I2" s="2" t="inlineStr">
        <is>
          <t>Charlotte Dubois</t>
        </is>
      </c>
      <c r="J2" s="2" t="inlineStr">
        <is>
          <t>2026-11-02</t>
        </is>
      </c>
    </row>
    <row r="3">
      <c r="A3" s="3" t="inlineStr">
        <is>
          <t>PRM-002</t>
        </is>
      </c>
      <c r="B3" s="3" t="inlineStr">
        <is>
          <t>Harrow Bay</t>
        </is>
      </c>
      <c r="C3" s="3" t="inlineStr">
        <is>
          <t>Marine licence – generation assets</t>
        </is>
      </c>
      <c r="D3" s="3" t="inlineStr">
        <is>
          <t>Marine licensing authority</t>
        </is>
      </c>
      <c r="E3" s="3" t="inlineStr">
        <is>
          <t>ML/2023/00417</t>
        </is>
      </c>
      <c r="F3" s="3" t="inlineStr">
        <is>
          <t>2023-11-20</t>
        </is>
      </c>
      <c r="G3" s="3" t="inlineStr">
        <is>
          <t>2033-11-19</t>
        </is>
      </c>
      <c r="H3" s="3" t="inlineStr">
        <is>
          <t>Granted</t>
        </is>
      </c>
      <c r="I3" s="3" t="inlineStr">
        <is>
          <t>Charlotte Dubois</t>
        </is>
      </c>
      <c r="J3" s="3" t="inlineStr">
        <is>
          <t>2026-11-02</t>
        </is>
      </c>
    </row>
    <row r="4">
      <c r="A4" s="2" t="inlineStr">
        <is>
          <t>PRM-003</t>
        </is>
      </c>
      <c r="B4" s="2" t="inlineStr">
        <is>
          <t>Harrow Bay</t>
        </is>
      </c>
      <c r="C4" s="2" t="inlineStr">
        <is>
          <t>Marine licence – transmission assets</t>
        </is>
      </c>
      <c r="D4" s="2" t="inlineStr">
        <is>
          <t>Marine licensing authority</t>
        </is>
      </c>
      <c r="E4" s="2" t="inlineStr">
        <is>
          <t>ML/2023/00418</t>
        </is>
      </c>
      <c r="F4" s="2" t="inlineStr">
        <is>
          <t>2023-11-20</t>
        </is>
      </c>
      <c r="G4" s="2" t="inlineStr">
        <is>
          <t>2033-11-19</t>
        </is>
      </c>
      <c r="H4" s="2" t="inlineStr">
        <is>
          <t>Granted</t>
        </is>
      </c>
      <c r="I4" s="2" t="inlineStr">
        <is>
          <t>Charlotte Dubois</t>
        </is>
      </c>
      <c r="J4" s="2" t="inlineStr">
        <is>
          <t>2026-12-01</t>
        </is>
      </c>
    </row>
    <row r="5">
      <c r="A5" s="3" t="inlineStr">
        <is>
          <t>PRM-004</t>
        </is>
      </c>
      <c r="B5" s="3" t="inlineStr">
        <is>
          <t>Harrow Bay</t>
        </is>
      </c>
      <c r="C5" s="3" t="inlineStr">
        <is>
          <t>European protected species licence (porpoise)</t>
        </is>
      </c>
      <c r="D5" s="3" t="inlineStr">
        <is>
          <t>Nature conservation body</t>
        </is>
      </c>
      <c r="E5" s="3" t="inlineStr">
        <is>
          <t>EPS-2026-0112</t>
        </is>
      </c>
      <c r="F5" s="3" t="inlineStr">
        <is>
          <t>2026-03-18</t>
        </is>
      </c>
      <c r="G5" s="3" t="inlineStr">
        <is>
          <t>2027-03-17</t>
        </is>
      </c>
      <c r="H5" s="3" t="inlineStr">
        <is>
          <t>Granted</t>
        </is>
      </c>
      <c r="I5" s="3" t="inlineStr">
        <is>
          <t>Ahmed Rahimi</t>
        </is>
      </c>
      <c r="J5" s="3" t="inlineStr">
        <is>
          <t>2026-11-02</t>
        </is>
      </c>
    </row>
    <row r="6">
      <c r="A6" s="2" t="inlineStr">
        <is>
          <t>PRM-005</t>
        </is>
      </c>
      <c r="B6" s="2" t="inlineStr">
        <is>
          <t>Harrow Bay</t>
        </is>
      </c>
      <c r="C6" s="2" t="inlineStr">
        <is>
          <t>Onshore substation building control</t>
        </is>
      </c>
      <c r="D6" s="2" t="inlineStr">
        <is>
          <t>Harrow Bay District Council</t>
        </is>
      </c>
      <c r="E6" s="2" t="inlineStr">
        <is>
          <t>BC/2025/1188</t>
        </is>
      </c>
      <c r="F6" s="2" t="inlineStr">
        <is>
          <t>2025-08-14</t>
        </is>
      </c>
      <c r="G6" s="2" t="inlineStr">
        <is>
          <t>—</t>
        </is>
      </c>
      <c r="H6" s="2" t="inlineStr">
        <is>
          <t>Granted</t>
        </is>
      </c>
      <c r="I6" s="2" t="inlineStr">
        <is>
          <t>Ahmed Rahimi</t>
        </is>
      </c>
      <c r="J6" s="2" t="inlineStr">
        <is>
          <t>2026-10-15</t>
        </is>
      </c>
    </row>
    <row r="7">
      <c r="A7" s="3" t="inlineStr">
        <is>
          <t>PRM-006</t>
        </is>
      </c>
      <c r="B7" s="3" t="inlineStr">
        <is>
          <t>Harrow Bay</t>
        </is>
      </c>
      <c r="C7" s="3" t="inlineStr">
        <is>
          <t>Port of Eastholm works licence</t>
        </is>
      </c>
      <c r="D7" s="3" t="inlineStr">
        <is>
          <t>Port of Eastholm</t>
        </is>
      </c>
      <c r="E7" s="3" t="inlineStr">
        <is>
          <t>PE-WL-2026-07</t>
        </is>
      </c>
      <c r="F7" s="3" t="inlineStr">
        <is>
          <t>2026-01-20</t>
        </is>
      </c>
      <c r="G7" s="3" t="inlineStr">
        <is>
          <t>2028-12-31</t>
        </is>
      </c>
      <c r="H7" s="3" t="inlineStr">
        <is>
          <t>Granted</t>
        </is>
      </c>
      <c r="I7" s="3" t="inlineStr">
        <is>
          <t>Ahmed Rahimi</t>
        </is>
      </c>
      <c r="J7" s="3" t="inlineStr">
        <is>
          <t>2026-10-15</t>
        </is>
      </c>
    </row>
    <row r="8">
      <c r="A8" s="2" t="inlineStr">
        <is>
          <t>PRM-007</t>
        </is>
      </c>
      <c r="B8" s="2" t="inlineStr">
        <is>
          <t>Harrow Bay</t>
        </is>
      </c>
      <c r="C8" s="2" t="inlineStr">
        <is>
          <t>Traffic regulation order – landfall</t>
        </is>
      </c>
      <c r="D8" s="2" t="inlineStr">
        <is>
          <t>County Highways</t>
        </is>
      </c>
      <c r="E8" s="2" t="inlineStr">
        <is>
          <t>TRO-2026-031</t>
        </is>
      </c>
      <c r="F8" s="2" t="inlineStr">
        <is>
          <t>2026-05-02</t>
        </is>
      </c>
      <c r="G8" s="2" t="inlineStr">
        <is>
          <t>2026-12-31</t>
        </is>
      </c>
      <c r="H8" s="2" t="inlineStr">
        <is>
          <t>Granted</t>
        </is>
      </c>
      <c r="I8" s="2" t="inlineStr">
        <is>
          <t>Ahmed Rahimi</t>
        </is>
      </c>
      <c r="J8" s="2" t="inlineStr">
        <is>
          <t>2027-01-15</t>
        </is>
      </c>
    </row>
    <row r="9">
      <c r="A9" s="3" t="inlineStr">
        <is>
          <t>PRM-008</t>
        </is>
      </c>
      <c r="B9" s="3" t="inlineStr">
        <is>
          <t>Harrow Bay</t>
        </is>
      </c>
      <c r="C9" s="3" t="inlineStr">
        <is>
          <t>Abnormal loads notifications (transformers)</t>
        </is>
      </c>
      <c r="D9" s="3" t="inlineStr">
        <is>
          <t>County Highways</t>
        </is>
      </c>
      <c r="E9" s="3" t="inlineStr">
        <is>
          <t>AIL-2026-14</t>
        </is>
      </c>
      <c r="F9" s="3" t="inlineStr">
        <is>
          <t>2026-02-10</t>
        </is>
      </c>
      <c r="G9" s="3" t="inlineStr">
        <is>
          <t>2026-12-31</t>
        </is>
      </c>
      <c r="H9" s="3" t="inlineStr">
        <is>
          <t>Granted</t>
        </is>
      </c>
      <c r="I9" s="3" t="inlineStr">
        <is>
          <t>Charlotte Dubois</t>
        </is>
      </c>
      <c r="J9" s="3" t="inlineStr">
        <is>
          <t>2026-10-15</t>
        </is>
      </c>
    </row>
    <row r="10">
      <c r="A10" s="2" t="inlineStr">
        <is>
          <t>PRM-009</t>
        </is>
      </c>
      <c r="B10" s="2" t="inlineStr">
        <is>
          <t>Harrow Bay</t>
        </is>
      </c>
      <c r="C10" s="2" t="inlineStr">
        <is>
          <t>Waste carrier registration</t>
        </is>
      </c>
      <c r="D10" s="2" t="inlineStr">
        <is>
          <t>Environment regulator</t>
        </is>
      </c>
      <c r="E10" s="2" t="inlineStr">
        <is>
          <t>CBDU-HB-2026</t>
        </is>
      </c>
      <c r="F10" s="2" t="inlineStr">
        <is>
          <t>2026-02-01</t>
        </is>
      </c>
      <c r="G10" s="2" t="inlineStr">
        <is>
          <t>2029-01-31</t>
        </is>
      </c>
      <c r="H10" s="2" t="inlineStr">
        <is>
          <t>Granted</t>
        </is>
      </c>
      <c r="I10" s="2" t="inlineStr">
        <is>
          <t>Ahmed Rahimi</t>
        </is>
      </c>
      <c r="J10" s="2" t="inlineStr">
        <is>
          <t>2026-10-15</t>
        </is>
      </c>
    </row>
    <row r="11">
      <c r="A11" s="3" t="inlineStr">
        <is>
          <t>PRM-010</t>
        </is>
      </c>
      <c r="B11" s="3" t="inlineStr">
        <is>
          <t>Harrow Bay</t>
        </is>
      </c>
      <c r="C11" s="3" t="inlineStr">
        <is>
          <t>Discharge consent – onshore substation drainage</t>
        </is>
      </c>
      <c r="D11" s="3" t="inlineStr">
        <is>
          <t>Environment regulator</t>
        </is>
      </c>
      <c r="E11" s="3" t="inlineStr">
        <is>
          <t>DC-2026-0217</t>
        </is>
      </c>
      <c r="F11" s="3" t="inlineStr">
        <is>
          <t>2026-04-22</t>
        </is>
      </c>
      <c r="G11" s="3" t="inlineStr">
        <is>
          <t>—</t>
        </is>
      </c>
      <c r="H11" s="3" t="inlineStr">
        <is>
          <t>Granted</t>
        </is>
      </c>
      <c r="I11" s="3" t="inlineStr">
        <is>
          <t>Ahmed Rahimi</t>
        </is>
      </c>
      <c r="J11" s="3" t="inlineStr">
        <is>
          <t>2026-11-02</t>
        </is>
      </c>
    </row>
    <row r="12">
      <c r="A12" s="2" t="inlineStr">
        <is>
          <t>PRM-011</t>
        </is>
      </c>
      <c r="B12" s="2" t="inlineStr">
        <is>
          <t>Kestrel Ridge</t>
        </is>
      </c>
      <c r="C12" s="2" t="inlineStr">
        <is>
          <t>Planning consent (wind farm, 18 turbines)</t>
        </is>
      </c>
      <c r="D12" s="2" t="inlineStr">
        <is>
          <t>Scottish Borders planning authority</t>
        </is>
      </c>
      <c r="E12" s="2" t="inlineStr">
        <is>
          <t>KR/19/00782/FUL</t>
        </is>
      </c>
      <c r="F12" s="2" t="inlineStr">
        <is>
          <t>2020-06-11</t>
        </is>
      </c>
      <c r="G12" s="2" t="inlineStr">
        <is>
          <t>2049-03-14</t>
        </is>
      </c>
      <c r="H12" s="2" t="inlineStr">
        <is>
          <t>Granted</t>
        </is>
      </c>
      <c r="I12" s="2" t="inlineStr">
        <is>
          <t>Charlotte Dubois</t>
        </is>
      </c>
      <c r="J12" s="2" t="inlineStr">
        <is>
          <t>2026-12-01</t>
        </is>
      </c>
    </row>
    <row r="13">
      <c r="A13" s="3" t="inlineStr">
        <is>
          <t>PRM-012</t>
        </is>
      </c>
      <c r="B13" s="3" t="inlineStr">
        <is>
          <t>Kestrel Ridge</t>
        </is>
      </c>
      <c r="C13" s="3" t="inlineStr">
        <is>
          <t>Aviation lighting consent</t>
        </is>
      </c>
      <c r="D13" s="3" t="inlineStr">
        <is>
          <t>Aviation authority</t>
        </is>
      </c>
      <c r="E13" s="3" t="inlineStr">
        <is>
          <t>AV-KR-2023-09</t>
        </is>
      </c>
      <c r="F13" s="3" t="inlineStr">
        <is>
          <t>2023-04-03</t>
        </is>
      </c>
      <c r="G13" s="3" t="inlineStr">
        <is>
          <t>—</t>
        </is>
      </c>
      <c r="H13" s="3" t="inlineStr">
        <is>
          <t>Granted</t>
        </is>
      </c>
      <c r="I13" s="3" t="inlineStr">
        <is>
          <t>Charlotte Dubois</t>
        </is>
      </c>
      <c r="J13" s="3" t="inlineStr">
        <is>
          <t>2027-01-15</t>
        </is>
      </c>
    </row>
    <row r="14">
      <c r="A14" s="2" t="inlineStr">
        <is>
          <t>PRM-013</t>
        </is>
      </c>
      <c r="B14" s="2" t="inlineStr">
        <is>
          <t>Kestrel Ridge</t>
        </is>
      </c>
      <c r="C14" s="2" t="inlineStr">
        <is>
          <t>Water abstraction (welfare)</t>
        </is>
      </c>
      <c r="D14" s="2" t="inlineStr">
        <is>
          <t>Environment regulator</t>
        </is>
      </c>
      <c r="E14" s="2" t="inlineStr">
        <is>
          <t>CAR/R/1188842</t>
        </is>
      </c>
      <c r="F14" s="2" t="inlineStr">
        <is>
          <t>2023-09-01</t>
        </is>
      </c>
      <c r="G14" s="2" t="inlineStr">
        <is>
          <t>2028-08-31</t>
        </is>
      </c>
      <c r="H14" s="2" t="inlineStr">
        <is>
          <t>Granted</t>
        </is>
      </c>
      <c r="I14" s="2" t="inlineStr">
        <is>
          <t>Ahmed Rahimi</t>
        </is>
      </c>
      <c r="J14" s="2" t="inlineStr">
        <is>
          <t>2026-10-15</t>
        </is>
      </c>
    </row>
    <row r="15">
      <c r="A15" s="3" t="inlineStr">
        <is>
          <t>PRM-014</t>
        </is>
      </c>
      <c r="B15" s="3" t="inlineStr">
        <is>
          <t>Kestrel Ridge</t>
        </is>
      </c>
      <c r="C15" s="3" t="inlineStr">
        <is>
          <t>Waste management exemption</t>
        </is>
      </c>
      <c r="D15" s="3" t="inlineStr">
        <is>
          <t>Environment regulator</t>
        </is>
      </c>
      <c r="E15" s="3" t="inlineStr">
        <is>
          <t>WME-KR-2024</t>
        </is>
      </c>
      <c r="F15" s="3" t="inlineStr">
        <is>
          <t>2024-02-01</t>
        </is>
      </c>
      <c r="G15" s="3" t="inlineStr">
        <is>
          <t>2027-01-31</t>
        </is>
      </c>
      <c r="H15" s="3" t="inlineStr">
        <is>
          <t>Granted</t>
        </is>
      </c>
      <c r="I15" s="3" t="inlineStr">
        <is>
          <t>Ahmed Rahimi</t>
        </is>
      </c>
      <c r="J15" s="3" t="inlineStr">
        <is>
          <t>2027-01-15</t>
        </is>
      </c>
    </row>
    <row r="16">
      <c r="A16" s="2" t="inlineStr">
        <is>
          <t>PRM-015</t>
        </is>
      </c>
      <c r="B16" s="2" t="inlineStr">
        <is>
          <t>Kestrel Ridge</t>
        </is>
      </c>
      <c r="C16" s="2" t="inlineStr">
        <is>
          <t>Crane permit – T-07 gearbox exchange</t>
        </is>
      </c>
      <c r="D16" s="2" t="inlineStr">
        <is>
          <t>Scottish Borders roads</t>
        </is>
      </c>
      <c r="E16" s="2" t="inlineStr">
        <is>
          <t>RP-2026-0041</t>
        </is>
      </c>
      <c r="F16" s="2" t="inlineStr">
        <is>
          <t>2026-01-26</t>
        </is>
      </c>
      <c r="G16" s="2" t="inlineStr">
        <is>
          <t>2026-02-20</t>
        </is>
      </c>
      <c r="H16" s="2" t="inlineStr">
        <is>
          <t>Expired</t>
        </is>
      </c>
      <c r="I16" s="2" t="inlineStr">
        <is>
          <t>Charlotte Dubois</t>
        </is>
      </c>
      <c r="J16" s="2" t="inlineStr">
        <is>
          <t>2027-01-15</t>
        </is>
      </c>
    </row>
    <row r="17">
      <c r="A17" s="3" t="inlineStr">
        <is>
          <t>PRM-016</t>
        </is>
      </c>
      <c r="B17" s="3" t="inlineStr">
        <is>
          <t>Kestrel Ridge</t>
        </is>
      </c>
      <c r="C17" s="3" t="inlineStr">
        <is>
          <t>Generation licence exemption confirmation</t>
        </is>
      </c>
      <c r="D17" s="3" t="inlineStr">
        <is>
          <t>Energy regulator</t>
        </is>
      </c>
      <c r="E17" s="3" t="inlineStr">
        <is>
          <t>EXM-KR-2023</t>
        </is>
      </c>
      <c r="F17" s="3" t="inlineStr">
        <is>
          <t>2023-12-01</t>
        </is>
      </c>
      <c r="G17" s="3" t="inlineStr">
        <is>
          <t>—</t>
        </is>
      </c>
      <c r="H17" s="3" t="inlineStr">
        <is>
          <t>Granted</t>
        </is>
      </c>
      <c r="I17" s="3" t="inlineStr">
        <is>
          <t>Charlotte Dubois</t>
        </is>
      </c>
      <c r="J17" s="3" t="inlineStr">
        <is>
          <t>2026-11-02</t>
        </is>
      </c>
    </row>
    <row r="18">
      <c r="A18" s="2" t="inlineStr">
        <is>
          <t>PRM-017</t>
        </is>
      </c>
      <c r="B18" s="2" t="inlineStr">
        <is>
          <t>Millbrook</t>
        </is>
      </c>
      <c r="C18" s="2" t="inlineStr">
        <is>
          <t>Full planning permission</t>
        </is>
      </c>
      <c r="D18" s="2" t="inlineStr">
        <is>
          <t>Millbrook District Council</t>
        </is>
      </c>
      <c r="E18" s="2" t="inlineStr">
        <is>
          <t>MDC/2026/0412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Submitted 2026-06-18, decision Q1 2027</t>
        </is>
      </c>
      <c r="I18" s="2" t="inlineStr">
        <is>
          <t>Charlotte Dubois</t>
        </is>
      </c>
      <c r="J18" s="2" t="inlineStr">
        <is>
          <t>2026-10-15</t>
        </is>
      </c>
    </row>
    <row r="19">
      <c r="A19" s="3" t="inlineStr">
        <is>
          <t>PRM-018</t>
        </is>
      </c>
      <c r="B19" s="3" t="inlineStr">
        <is>
          <t>Millbrook</t>
        </is>
      </c>
      <c r="C19" s="3" t="inlineStr">
        <is>
          <t>Footpath FP14 temporary diversion order</t>
        </is>
      </c>
      <c r="D19" s="3" t="inlineStr">
        <is>
          <t>Millbrook District Council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To apply after consent</t>
        </is>
      </c>
      <c r="I19" s="3" t="inlineStr">
        <is>
          <t>Charlotte Dubois</t>
        </is>
      </c>
      <c r="J19" s="3" t="inlineStr">
        <is>
          <t>2026-11-02</t>
        </is>
      </c>
    </row>
    <row r="20">
      <c r="A20" s="2" t="inlineStr">
        <is>
          <t>PRM-019</t>
        </is>
      </c>
      <c r="B20" s="2" t="inlineStr">
        <is>
          <t>Millbrook</t>
        </is>
      </c>
      <c r="C20" s="2" t="inlineStr">
        <is>
          <t>Hedgerow removal notice (0.6 km)</t>
        </is>
      </c>
      <c r="D20" s="2" t="inlineStr">
        <is>
          <t>Millbrook District Council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Covered by planning permission</t>
        </is>
      </c>
      <c r="I20" s="2" t="inlineStr">
        <is>
          <t>Charlotte Dubois</t>
        </is>
      </c>
      <c r="J20" s="2" t="inlineStr">
        <is>
          <t>2027-01-15</t>
        </is>
      </c>
    </row>
    <row r="21">
      <c r="A21" s="3" t="inlineStr">
        <is>
          <t>PRM-020</t>
        </is>
      </c>
      <c r="B21" s="3" t="inlineStr">
        <is>
          <t>Millbrook</t>
        </is>
      </c>
      <c r="C21" s="3" t="inlineStr">
        <is>
          <t>Badger licence (sett H12) – if required</t>
        </is>
      </c>
      <c r="D21" s="3" t="inlineStr">
        <is>
          <t>Nature conservation body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Not yet required</t>
        </is>
      </c>
      <c r="I21" s="3" t="inlineStr">
        <is>
          <t>Charlotte Dubois</t>
        </is>
      </c>
      <c r="J21" s="3" t="inlineStr">
        <is>
          <t>2026-12-01</t>
        </is>
      </c>
    </row>
    <row r="22">
      <c r="A22" s="2" t="inlineStr">
        <is>
          <t>PRM-021</t>
        </is>
      </c>
      <c r="B22" s="2" t="inlineStr">
        <is>
          <t>Millbrook</t>
        </is>
      </c>
      <c r="C22" s="2" t="inlineStr">
        <is>
          <t>Grid connection cable – NordGrid consents</t>
        </is>
      </c>
      <c r="D22" s="2" t="inlineStr">
        <is>
          <t>NordGrid Transmission</t>
        </is>
      </c>
      <c r="E22" s="2" t="inlineStr">
        <is>
          <t>NGT-OFF-2025-1187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NordGrid to obtain (permitted development)</t>
        </is>
      </c>
      <c r="I22" s="2" t="inlineStr">
        <is>
          <t>Charlotte Dubois</t>
        </is>
      </c>
      <c r="J22" s="2" t="inlineStr">
        <is>
          <t>2026-11-02</t>
        </is>
      </c>
    </row>
    <row r="23">
      <c r="A23" s="3" t="inlineStr">
        <is>
          <t>PRM-022</t>
        </is>
      </c>
      <c r="B23" s="3" t="inlineStr">
        <is>
          <t>Millbrook</t>
        </is>
      </c>
      <c r="C23" s="3" t="inlineStr">
        <is>
          <t>Section 278 agreement – B4127 junction</t>
        </is>
      </c>
      <c r="D23" s="3" t="inlineStr">
        <is>
          <t>County Highways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Heads of terms in discussion</t>
        </is>
      </c>
      <c r="I23" s="3" t="inlineStr">
        <is>
          <t>Charlotte Dubois</t>
        </is>
      </c>
      <c r="J23" s="3" t="inlineStr">
        <is>
          <t>2026-11-02</t>
        </is>
      </c>
    </row>
    <row r="24">
      <c r="A24" s="2" t="inlineStr">
        <is>
          <t>PRM-023</t>
        </is>
      </c>
      <c r="B24" s="2" t="inlineStr">
        <is>
          <t>Fenwick</t>
        </is>
      </c>
      <c r="C24" s="2" t="inlineStr">
        <is>
          <t>Planning permission (BESS)</t>
        </is>
      </c>
      <c r="D24" s="2" t="inlineStr">
        <is>
          <t>Fenwick Borough Council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Pre-application Q4 2026</t>
        </is>
      </c>
      <c r="I24" s="2" t="inlineStr">
        <is>
          <t>Charlotte Dubois</t>
        </is>
      </c>
      <c r="J24" s="2" t="inlineStr">
        <is>
          <t>2027-01-15</t>
        </is>
      </c>
    </row>
    <row r="25">
      <c r="A25" s="3" t="inlineStr">
        <is>
          <t>PRM-024</t>
        </is>
      </c>
      <c r="B25" s="3" t="inlineStr">
        <is>
          <t>Fenwick</t>
        </is>
      </c>
      <c r="C25" s="3" t="inlineStr">
        <is>
          <t>Hazardous substances consent screening</t>
        </is>
      </c>
      <c r="D25" s="3" t="inlineStr">
        <is>
          <t>Fenwick Borough Council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Screening request Q1 2027</t>
        </is>
      </c>
      <c r="I25" s="3" t="inlineStr">
        <is>
          <t>Charlotte Dubois</t>
        </is>
      </c>
      <c r="J25" s="3" t="inlineStr">
        <is>
          <t>2027-01-15</t>
        </is>
      </c>
    </row>
    <row r="26">
      <c r="A26" s="2" t="inlineStr">
        <is>
          <t>PRM-025</t>
        </is>
      </c>
      <c r="B26" s="2" t="inlineStr">
        <is>
          <t>Green Hydrogen Pilot</t>
        </is>
      </c>
      <c r="C26" s="2" t="inlineStr">
        <is>
          <t>Hazardous substances consent</t>
        </is>
      </c>
      <c r="D26" s="2" t="inlineStr">
        <is>
          <t>Port authority / council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Feasibility – scoping</t>
        </is>
      </c>
      <c r="I26" s="2" t="inlineStr">
        <is>
          <t>Ahmed Rahimi</t>
        </is>
      </c>
      <c r="J26" s="2" t="inlineStr">
        <is>
          <t>2026-12-01</t>
        </is>
      </c>
    </row>
    <row r="27">
      <c r="A27" s="3" t="inlineStr">
        <is>
          <t>PRM-026</t>
        </is>
      </c>
      <c r="B27" s="3" t="inlineStr">
        <is>
          <t>Green Hydrogen Pilot</t>
        </is>
      </c>
      <c r="C27" s="3" t="inlineStr">
        <is>
          <t>Environmental permit (electrolysis)</t>
        </is>
      </c>
      <c r="D27" s="3" t="inlineStr">
        <is>
          <t>Environment regulator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Feasibility – scoping</t>
        </is>
      </c>
      <c r="I27" s="3" t="inlineStr">
        <is>
          <t>Charlotte Dubois</t>
        </is>
      </c>
      <c r="J27" s="3" t="inlineStr">
        <is>
          <t>2026-11-02</t>
        </is>
      </c>
    </row>
  </sheetData>
  <autoFilter ref="A1:J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9" customWidth="1" min="3" max="3"/>
    <col width="20" customWidth="1" min="4" max="4"/>
  </cols>
  <sheetData>
    <row r="1">
      <c r="A1" s="1" t="inlineStr">
        <is>
          <t>Project</t>
        </is>
      </c>
      <c r="B1" s="1" t="inlineStr">
        <is>
          <t>Permits tracked</t>
        </is>
      </c>
      <c r="C1" s="1" t="inlineStr">
        <is>
          <t>Granted</t>
        </is>
      </c>
      <c r="D1" s="1" t="inlineStr">
        <is>
          <t>Pending / to apply</t>
        </is>
      </c>
    </row>
    <row r="2">
      <c r="A2" s="2" t="inlineStr">
        <is>
          <t>Harrow Bay</t>
        </is>
      </c>
      <c r="B2" s="2">
        <f>COUNTIF(Register!B:B,A2)</f>
        <v/>
      </c>
      <c r="C2" s="2">
        <f>COUNTIFS(Register!B:B,A2,Register!H:H,"Granted")</f>
        <v/>
      </c>
      <c r="D2" s="2">
        <f>B2-C2</f>
        <v/>
      </c>
    </row>
    <row r="3">
      <c r="A3" s="3" t="inlineStr">
        <is>
          <t>Kestrel Ridge</t>
        </is>
      </c>
      <c r="B3" s="3">
        <f>COUNTIF(Register!B:B,A3)</f>
        <v/>
      </c>
      <c r="C3" s="3">
        <f>COUNTIFS(Register!B:B,A3,Register!H:H,"Granted")</f>
        <v/>
      </c>
      <c r="D3" s="3">
        <f>B3-C3</f>
        <v/>
      </c>
    </row>
    <row r="4">
      <c r="A4" s="2" t="inlineStr">
        <is>
          <t>Millbrook</t>
        </is>
      </c>
      <c r="B4" s="2">
        <f>COUNTIF(Register!B:B,A4)</f>
        <v/>
      </c>
      <c r="C4" s="2">
        <f>COUNTIFS(Register!B:B,A4,Register!H:H,"Granted")</f>
        <v/>
      </c>
      <c r="D4" s="2">
        <f>B4-C4</f>
        <v/>
      </c>
    </row>
    <row r="5">
      <c r="A5" s="3" t="inlineStr">
        <is>
          <t>Fenwick</t>
        </is>
      </c>
      <c r="B5" s="3">
        <f>COUNTIF(Register!B:B,A5)</f>
        <v/>
      </c>
      <c r="C5" s="3">
        <f>COUNTIFS(Register!B:B,A5,Register!H:H,"Granted")</f>
        <v/>
      </c>
      <c r="D5" s="3">
        <f>B5-C5</f>
        <v/>
      </c>
    </row>
    <row r="6">
      <c r="A6" s="2" t="inlineStr">
        <is>
          <t>Green Hydrogen Pilot</t>
        </is>
      </c>
      <c r="B6" s="2">
        <f>COUNTIF(Register!B:B,A6)</f>
        <v/>
      </c>
      <c r="C6" s="2">
        <f>COUNTIFS(Register!B:B,A6,Register!H:H,"Granted")</f>
        <v/>
      </c>
      <c r="D6" s="2">
        <f>B6-C6</f>
        <v/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Sofie Lindqvist</dc:creator>
  <dcterms:created xmlns:dcterms="http://purl.org/dc/terms/" xmlns:xsi="http://www.w3.org/2001/XMLSchema-instance" xsi:type="dcterms:W3CDTF">2024-02-05T10:00:00Z</dcterms:created>
  <dcterms:modified xmlns:dcterms="http://purl.org/dc/terms/" xmlns:xsi="http://www.w3.org/2001/XMLSchema-instance" xsi:type="dcterms:W3CDTF">2026-10-04T19:30:24Z</dcterms:modified>
  <cp:lastModifiedBy>Sofie Lindqvist</cp:lastModifiedBy>
</cp:coreProperties>
</file>