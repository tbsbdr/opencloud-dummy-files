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>
    <definedName name="_xlnm._FilterDatabase" localSheetId="0" hidden="1">'Forecast'!$A$1:$H$5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2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2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9" customWidth="1" min="3" max="3"/>
    <col width="14" customWidth="1" min="4" max="4"/>
    <col width="18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Project</t>
        </is>
      </c>
      <c r="B1" s="1" t="inlineStr">
        <is>
          <t>Zone</t>
        </is>
      </c>
      <c r="C1" s="1" t="inlineStr">
        <is>
          <t>TEC (MW)</t>
        </is>
      </c>
      <c r="D1" s="1" t="inlineStr">
        <is>
          <t>Tariff 2026 (EUR/kW)</t>
        </is>
      </c>
      <c r="E1" s="1" t="inlineStr">
        <is>
          <t>Tariff 2027 forecast (EUR/kW)</t>
        </is>
      </c>
      <c r="F1" s="1" t="inlineStr">
        <is>
          <t>Charge 2026 (EUR k)</t>
        </is>
      </c>
      <c r="G1" s="1" t="inlineStr">
        <is>
          <t>Charge 2027 (EUR k)</t>
        </is>
      </c>
      <c r="H1" s="1" t="inlineStr">
        <is>
          <t>Change</t>
        </is>
      </c>
    </row>
    <row r="2">
      <c r="A2" s="2" t="inlineStr">
        <is>
          <t>Kestrel Ridge</t>
        </is>
      </c>
      <c r="B2" s="2" t="inlineStr">
        <is>
          <t>Z3 Borders</t>
        </is>
      </c>
      <c r="C2" s="2" t="n">
        <v>75.59999999999999</v>
      </c>
      <c r="D2" s="3" t="n">
        <v>21.4</v>
      </c>
      <c r="E2" s="3" t="n">
        <v>23.1</v>
      </c>
      <c r="F2" s="4">
        <f>C2*D2</f>
        <v/>
      </c>
      <c r="G2" s="4">
        <f>C2*E2*IF(A2="Harrow Bay (stage 1 from Sep 2027)",4/12,1)</f>
        <v/>
      </c>
      <c r="H2" s="4">
        <f>G2-F2</f>
        <v/>
      </c>
    </row>
    <row r="3">
      <c r="A3" s="5" t="inlineStr">
        <is>
          <t>Harrow Bay (stage 1 from Sep 2027)</t>
        </is>
      </c>
      <c r="B3" s="5" t="inlineStr">
        <is>
          <t>Z9 North Sea offshore</t>
        </is>
      </c>
      <c r="C3" s="5" t="n">
        <v>240</v>
      </c>
      <c r="D3" s="6" t="n">
        <v>0</v>
      </c>
      <c r="E3" s="6" t="n">
        <v>9.85</v>
      </c>
      <c r="F3" s="7">
        <f>C3*D3</f>
        <v/>
      </c>
      <c r="G3" s="7">
        <f>C3*E3*IF(A3="Harrow Bay (stage 1 from Sep 2027)",4/12,1)</f>
        <v/>
      </c>
      <c r="H3" s="7">
        <f>G3-F3</f>
        <v/>
      </c>
    </row>
    <row r="4">
      <c r="A4" s="2" t="inlineStr">
        <is>
          <t>Millbrook (from Oct 2028)</t>
        </is>
      </c>
      <c r="B4" s="2" t="inlineStr">
        <is>
          <t>Z14 Midlands</t>
        </is>
      </c>
      <c r="C4" s="2" t="n">
        <v>70</v>
      </c>
      <c r="D4" s="3" t="n">
        <v>0</v>
      </c>
      <c r="E4" s="3" t="n">
        <v>0</v>
      </c>
      <c r="F4" s="4">
        <f>C4*D4</f>
        <v/>
      </c>
      <c r="G4" s="4">
        <f>C4*E4*IF(A4="Harrow Bay (stage 1 from Sep 2027)",4/12,1)</f>
        <v/>
      </c>
      <c r="H4" s="4">
        <f>G4-F4</f>
        <v/>
      </c>
    </row>
    <row r="5">
      <c r="A5" s="5" t="inlineStr">
        <is>
          <t>Total</t>
        </is>
      </c>
      <c r="B5" s="5" t="inlineStr"/>
      <c r="C5" s="5" t="inlineStr"/>
      <c r="D5" s="6" t="inlineStr"/>
      <c r="E5" s="6" t="inlineStr"/>
      <c r="F5" s="7">
        <f>SUM(F2:F4)</f>
        <v/>
      </c>
      <c r="G5" s="7">
        <f>SUM(G2:G4)</f>
        <v/>
      </c>
      <c r="H5" s="7">
        <f>G5-F5</f>
        <v/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2026-09-01T10:00:00Z</dcterms:created>
  <dcterms:modified xmlns:dcterms="http://purl.org/dc/terms/" xmlns:xsi="http://www.w3.org/2001/XMLSchema-instance" xsi:type="dcterms:W3CDTF">2026-10-04T19:30:25Z</dcterms:modified>
  <cp:lastModifiedBy>Sofie Lindqvist</cp:lastModifiedBy>
</cp:coreProperties>
</file>