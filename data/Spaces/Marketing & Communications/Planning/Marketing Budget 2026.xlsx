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>
    <definedName name="_xlnm._FilterDatabase" localSheetId="0" hidden="1">'Budget 2026'!$A$3:$H$12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Marketing &amp; Communications budget 2026 (EUR) – Q4 = forecast</t>
        </is>
      </c>
    </row>
    <row r="3">
      <c r="A3" s="2" t="inlineStr">
        <is>
          <t>Area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Total</t>
        </is>
      </c>
      <c r="G3" s="2" t="inlineStr">
        <is>
          <t>Budget</t>
        </is>
      </c>
      <c r="H3" s="2" t="inlineStr">
        <is>
          <t>Variance</t>
        </is>
      </c>
    </row>
    <row r="4">
      <c r="A4" s="3" t="inlineStr">
        <is>
          <t>Powering the North campaign</t>
        </is>
      </c>
      <c r="B4" s="4" t="n">
        <v>0</v>
      </c>
      <c r="C4" s="4" t="n">
        <v>61000</v>
      </c>
      <c r="D4" s="4" t="n">
        <v>165000</v>
      </c>
      <c r="E4" s="4" t="n">
        <v>4600</v>
      </c>
      <c r="F4" s="4">
        <f>SUM(B4:E4)</f>
        <v/>
      </c>
      <c r="G4" s="4" t="n">
        <v>240000</v>
      </c>
      <c r="H4" s="4">
        <f>G4-F4</f>
        <v/>
      </c>
    </row>
    <row r="5">
      <c r="A5" s="5" t="inlineStr">
        <is>
          <t>North Sea Energy Summit</t>
        </is>
      </c>
      <c r="B5" s="6" t="n">
        <v>0</v>
      </c>
      <c r="C5" s="6" t="n">
        <v>18000</v>
      </c>
      <c r="D5" s="6" t="n">
        <v>152000</v>
      </c>
      <c r="E5" s="6" t="n">
        <v>6000</v>
      </c>
      <c r="F5" s="6">
        <f>SUM(B5:E5)</f>
        <v/>
      </c>
      <c r="G5" s="6" t="n">
        <v>185000</v>
      </c>
      <c r="H5" s="6">
        <f>G5-F5</f>
        <v/>
      </c>
    </row>
    <row r="6">
      <c r="A6" s="3" t="inlineStr">
        <is>
          <t>Press &amp; PR (wire, monitoring)</t>
        </is>
      </c>
      <c r="B6" s="4" t="n">
        <v>9200</v>
      </c>
      <c r="C6" s="4" t="n">
        <v>8800</v>
      </c>
      <c r="D6" s="4" t="n">
        <v>9600</v>
      </c>
      <c r="E6" s="4" t="n">
        <v>9000</v>
      </c>
      <c r="F6" s="4">
        <f>SUM(B6:E6)</f>
        <v/>
      </c>
      <c r="G6" s="4" t="n">
        <v>38000</v>
      </c>
      <c r="H6" s="4">
        <f>G6-F6</f>
        <v/>
      </c>
    </row>
    <row r="7">
      <c r="A7" s="5" t="inlineStr">
        <is>
          <t>Website &amp; hosting</t>
        </is>
      </c>
      <c r="B7" s="6" t="n">
        <v>14500</v>
      </c>
      <c r="C7" s="6" t="n">
        <v>22000</v>
      </c>
      <c r="D7" s="6" t="n">
        <v>6200</v>
      </c>
      <c r="E7" s="6" t="n">
        <v>6000</v>
      </c>
      <c r="F7" s="6">
        <f>SUM(B7:E7)</f>
        <v/>
      </c>
      <c r="G7" s="6" t="n">
        <v>50000</v>
      </c>
      <c r="H7" s="6">
        <f>G7-F7</f>
        <v/>
      </c>
    </row>
    <row r="8">
      <c r="A8" s="3" t="inlineStr">
        <is>
          <t>Photo &amp; video</t>
        </is>
      </c>
      <c r="B8" s="4" t="n">
        <v>6400</v>
      </c>
      <c r="C8" s="4" t="n">
        <v>12800</v>
      </c>
      <c r="D8" s="4" t="n">
        <v>9400</v>
      </c>
      <c r="E8" s="4" t="n">
        <v>5000</v>
      </c>
      <c r="F8" s="4">
        <f>SUM(B8:E8)</f>
        <v/>
      </c>
      <c r="G8" s="4" t="n">
        <v>34000</v>
      </c>
      <c r="H8" s="4">
        <f>G8-F8</f>
        <v/>
      </c>
    </row>
    <row r="9">
      <c r="A9" s="5" t="inlineStr">
        <is>
          <t>Print &amp; merchandise</t>
        </is>
      </c>
      <c r="B9" s="6" t="n">
        <v>2100</v>
      </c>
      <c r="C9" s="6" t="n">
        <v>3400</v>
      </c>
      <c r="D9" s="6" t="n">
        <v>4800</v>
      </c>
      <c r="E9" s="6" t="n">
        <v>6500</v>
      </c>
      <c r="F9" s="6">
        <f>SUM(B9:E9)</f>
        <v/>
      </c>
      <c r="G9" s="6" t="n">
        <v>18000</v>
      </c>
      <c r="H9" s="6">
        <f>G9-F9</f>
        <v/>
      </c>
    </row>
    <row r="10">
      <c r="A10" s="3" t="inlineStr">
        <is>
          <t>Community events (with Community team)</t>
        </is>
      </c>
      <c r="B10" s="4" t="n">
        <v>1800</v>
      </c>
      <c r="C10" s="4" t="n">
        <v>6900</v>
      </c>
      <c r="D10" s="4" t="n">
        <v>7200</v>
      </c>
      <c r="E10" s="4" t="n">
        <v>3000</v>
      </c>
      <c r="F10" s="4">
        <f>SUM(B10:E10)</f>
        <v/>
      </c>
      <c r="G10" s="4" t="n">
        <v>20000</v>
      </c>
      <c r="H10" s="4">
        <f>G10-F10</f>
        <v/>
      </c>
    </row>
    <row r="11">
      <c r="A11" s="5" t="inlineStr">
        <is>
          <t>Agency retainer</t>
        </is>
      </c>
      <c r="B11" s="6" t="n">
        <v>12000</v>
      </c>
      <c r="C11" s="6" t="n">
        <v>12000</v>
      </c>
      <c r="D11" s="6" t="n">
        <v>12000</v>
      </c>
      <c r="E11" s="6" t="n">
        <v>12000</v>
      </c>
      <c r="F11" s="6">
        <f>SUM(B11:E11)</f>
        <v/>
      </c>
      <c r="G11" s="6" t="n">
        <v>48000</v>
      </c>
      <c r="H11" s="6">
        <f>G11-F11</f>
        <v/>
      </c>
    </row>
    <row r="12">
      <c r="A12" s="3" t="inlineStr">
        <is>
          <t>Total</t>
        </is>
      </c>
      <c r="B12" s="4">
        <f>SUM(B4:B11)</f>
        <v/>
      </c>
      <c r="C12" s="4">
        <f>SUM(C4:C11)</f>
        <v/>
      </c>
      <c r="D12" s="4">
        <f>SUM(D4:D11)</f>
        <v/>
      </c>
      <c r="E12" s="4">
        <f>SUM(E4:E11)</f>
        <v/>
      </c>
      <c r="F12" s="4">
        <f>SUM(F4:F11)</f>
        <v/>
      </c>
      <c r="G12" s="4">
        <f>SUM(G4:G11)</f>
        <v/>
      </c>
      <c r="H12" s="4">
        <f>SUM(H4:H11)</f>
        <v/>
      </c>
    </row>
  </sheetData>
  <autoFilter ref="A3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2025-11-17T10:00:00Z</dcterms:created>
  <dcterms:modified xmlns:dcterms="http://purl.org/dc/terms/" xmlns:xsi="http://www.w3.org/2001/XMLSchema-instance" xsi:type="dcterms:W3CDTF">2026-10-04T19:30:37Z</dcterms:modified>
  <cp:lastModifiedBy>Noah Fischer</cp:lastModifiedBy>
</cp:coreProperties>
</file>