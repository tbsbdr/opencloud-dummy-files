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-2026-39" sheetId="1" state="visible" r:id="rId1"/>
  </sheets>
  <definedNames>
    <definedName name="_xlnm._FilterDatabase" localSheetId="0" hidden="1">'PR-2026-39'!$A$1:$H$8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6" customWidth="1" min="4" max="4"/>
    <col width="8" customWidth="1" min="5" max="5"/>
    <col width="12" customWidth="1" min="6" max="6"/>
    <col width="28" customWidth="1" min="7" max="7"/>
    <col width="28" customWidth="1" min="8" max="8"/>
  </cols>
  <sheetData>
    <row r="1">
      <c r="A1" s="1" t="inlineStr">
        <is>
          <t>Payment run</t>
        </is>
      </c>
      <c r="B1" s="1" t="inlineStr">
        <is>
          <t>Supplier</t>
        </is>
      </c>
      <c r="C1" s="1" t="inlineStr">
        <is>
          <t>Invoice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Value date</t>
        </is>
      </c>
      <c r="G1" s="1" t="inlineStr">
        <is>
          <t>Bank</t>
        </is>
      </c>
      <c r="H1" s="1" t="inlineStr">
        <is>
          <t>Approved by</t>
        </is>
      </c>
    </row>
    <row r="2">
      <c r="A2" s="2" t="inlineStr">
        <is>
          <t>PR-2026-39</t>
        </is>
      </c>
      <c r="B2" s="2" t="inlineStr">
        <is>
          <t>Sandtorkai Office Properties</t>
        </is>
      </c>
      <c r="C2" s="2" t="inlineStr">
        <is>
          <t>INV-2026-00164</t>
        </is>
      </c>
      <c r="D2" s="3" t="n">
        <v>72590</v>
      </c>
      <c r="E2" s="2" t="inlineStr">
        <is>
          <t>EUR</t>
        </is>
      </c>
      <c r="F2" s="2" t="inlineStr">
        <is>
          <t>2026-09-25</t>
        </is>
      </c>
      <c r="G2" s="2" t="inlineStr">
        <is>
          <t>Elbe Commercial Bank</t>
        </is>
      </c>
      <c r="H2" s="2" t="inlineStr">
        <is>
          <t>Marcus Bell / Jonas Richter</t>
        </is>
      </c>
    </row>
    <row r="3">
      <c r="A3" s="4" t="inlineStr">
        <is>
          <t>PR-2026-39</t>
        </is>
      </c>
      <c r="B3" s="4" t="inlineStr">
        <is>
          <t>Sandtorkai Office Properties</t>
        </is>
      </c>
      <c r="C3" s="4" t="inlineStr">
        <is>
          <t>INV-2026-00169</t>
        </is>
      </c>
      <c r="D3" s="5" t="n">
        <v>72590</v>
      </c>
      <c r="E3" s="4" t="inlineStr">
        <is>
          <t>EUR</t>
        </is>
      </c>
      <c r="F3" s="4" t="inlineStr">
        <is>
          <t>2026-09-25</t>
        </is>
      </c>
      <c r="G3" s="4" t="inlineStr">
        <is>
          <t>Elbe Commercial Bank</t>
        </is>
      </c>
      <c r="H3" s="4" t="inlineStr">
        <is>
          <t>Marcus Bell / Jonas Richter</t>
        </is>
      </c>
    </row>
    <row r="4">
      <c r="A4" s="2" t="inlineStr">
        <is>
          <t>PR-2026-39</t>
        </is>
      </c>
      <c r="B4" s="2" t="inlineStr">
        <is>
          <t>Marlow Ecology Ltd</t>
        </is>
      </c>
      <c r="C4" s="2" t="inlineStr">
        <is>
          <t>INV-2026-00170</t>
        </is>
      </c>
      <c r="D4" s="3" t="n">
        <v>50005.74</v>
      </c>
      <c r="E4" s="2" t="inlineStr">
        <is>
          <t>GBP</t>
        </is>
      </c>
      <c r="F4" s="2" t="inlineStr">
        <is>
          <t>2026-09-25</t>
        </is>
      </c>
      <c r="G4" s="2" t="inlineStr">
        <is>
          <t>Caledonia Capital Bank plc</t>
        </is>
      </c>
      <c r="H4" s="2" t="inlineStr">
        <is>
          <t>Marcus Bell / Jonas Richter</t>
        </is>
      </c>
    </row>
    <row r="5">
      <c r="A5" s="4" t="inlineStr">
        <is>
          <t>PR-2026-39</t>
        </is>
      </c>
      <c r="B5" s="4" t="inlineStr">
        <is>
          <t>Hotel Harbour View Inn</t>
        </is>
      </c>
      <c r="C5" s="4" t="inlineStr">
        <is>
          <t>INV-2026-00173</t>
        </is>
      </c>
      <c r="D5" s="5" t="n">
        <v>10633.21</v>
      </c>
      <c r="E5" s="4" t="inlineStr">
        <is>
          <t>GBP</t>
        </is>
      </c>
      <c r="F5" s="4" t="inlineStr">
        <is>
          <t>2026-09-25</t>
        </is>
      </c>
      <c r="G5" s="4" t="inlineStr">
        <is>
          <t>Caledonia Capital Bank plc</t>
        </is>
      </c>
      <c r="H5" s="4" t="inlineStr">
        <is>
          <t>Marcus Bell / Jonas Richter</t>
        </is>
      </c>
    </row>
    <row r="6">
      <c r="A6" s="2" t="inlineStr">
        <is>
          <t>PR-2026-39</t>
        </is>
      </c>
      <c r="B6" s="2" t="inlineStr">
        <is>
          <t>Port of Eastholm Authority</t>
        </is>
      </c>
      <c r="C6" s="2" t="inlineStr">
        <is>
          <t>INV-2026-00174</t>
        </is>
      </c>
      <c r="D6" s="3" t="n">
        <v>103946.64</v>
      </c>
      <c r="E6" s="2" t="inlineStr">
        <is>
          <t>GBP</t>
        </is>
      </c>
      <c r="F6" s="2" t="inlineStr">
        <is>
          <t>2026-09-25</t>
        </is>
      </c>
      <c r="G6" s="2" t="inlineStr">
        <is>
          <t>Caledonia Capital Bank plc</t>
        </is>
      </c>
      <c r="H6" s="2" t="inlineStr">
        <is>
          <t>Marcus Bell / Jonas Richter</t>
        </is>
      </c>
    </row>
    <row r="7">
      <c r="A7" s="4" t="inlineStr">
        <is>
          <t>PR-2026-39</t>
        </is>
      </c>
      <c r="B7" s="4" t="inlineStr">
        <is>
          <t>Northlight IT Services</t>
        </is>
      </c>
      <c r="C7" s="4" t="inlineStr">
        <is>
          <t>INV-2026-00176</t>
        </is>
      </c>
      <c r="D7" s="5" t="n">
        <v>60962.52</v>
      </c>
      <c r="E7" s="4" t="inlineStr">
        <is>
          <t>EUR</t>
        </is>
      </c>
      <c r="F7" s="4" t="inlineStr">
        <is>
          <t>2026-09-25</t>
        </is>
      </c>
      <c r="G7" s="4" t="inlineStr">
        <is>
          <t>Elbe Commercial Bank</t>
        </is>
      </c>
      <c r="H7" s="4" t="inlineStr">
        <is>
          <t>Marcus Bell / Jonas Richter</t>
        </is>
      </c>
    </row>
    <row r="8">
      <c r="A8" s="2" t="inlineStr"/>
      <c r="B8" s="2" t="inlineStr">
        <is>
          <t>Total EUR (excl. GBP/DKK)</t>
        </is>
      </c>
      <c r="C8" s="2" t="inlineStr"/>
      <c r="D8" s="3">
        <f>SUMIF(E2:E7,"EUR",D2:D7)</f>
        <v/>
      </c>
      <c r="E8" s="2" t="inlineStr">
        <is>
          <t>EUR</t>
        </is>
      </c>
      <c r="F8" s="2" t="inlineStr"/>
      <c r="G8" s="2" t="inlineStr"/>
      <c r="H8" s="2" t="inlineStr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2026-09-24T10:00:00Z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