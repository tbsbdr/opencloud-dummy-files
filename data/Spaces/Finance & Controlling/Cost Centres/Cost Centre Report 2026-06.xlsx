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 June" sheetId="1" state="visible" r:id="rId1"/>
  </sheets>
  <definedNames>
    <definedName name="_xlnm._FilterDatabase" localSheetId="0" hidden="1">'YTD June'!$A$3:$H$22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6" customWidth="1" min="4" max="4"/>
    <col width="16" customWidth="1" min="5" max="5"/>
    <col width="10" customWidth="1" min="6" max="6"/>
    <col width="9" customWidth="1" min="7" max="7"/>
    <col width="14" customWidth="1" min="8" max="8"/>
  </cols>
  <sheetData>
    <row r="1">
      <c r="A1" s="1" t="inlineStr">
        <is>
          <t>Opex by cost centre – January to June 2026</t>
        </is>
      </c>
    </row>
    <row r="3">
      <c r="A3" s="2" t="inlineStr">
        <is>
          <t>Cost centre</t>
        </is>
      </c>
      <c r="B3" s="2" t="inlineStr">
        <is>
          <t>Name</t>
        </is>
      </c>
      <c r="C3" s="2" t="inlineStr">
        <is>
          <t>Responsible</t>
        </is>
      </c>
      <c r="D3" s="2" t="inlineStr">
        <is>
          <t>Actual YTD Jun (EUR k)</t>
        </is>
      </c>
      <c r="E3" s="2" t="inlineStr">
        <is>
          <t>Budget YTD (EUR k)</t>
        </is>
      </c>
      <c r="F3" s="2" t="inlineStr">
        <is>
          <t>Delta</t>
        </is>
      </c>
      <c r="G3" s="2" t="inlineStr">
        <is>
          <t>Delta %</t>
        </is>
      </c>
      <c r="H3" s="2" t="inlineStr">
        <is>
          <t>Full-year budget</t>
        </is>
      </c>
    </row>
    <row r="4">
      <c r="A4" s="3" t="inlineStr">
        <is>
          <t>1000</t>
        </is>
      </c>
      <c r="B4" s="3" t="inlineStr">
        <is>
          <t>Executive Board &amp; Office of the CEO</t>
        </is>
      </c>
      <c r="C4" s="3" t="inlineStr">
        <is>
          <t>Dr. Amara Okafor</t>
        </is>
      </c>
      <c r="D4" s="4" t="n">
        <v>2077</v>
      </c>
      <c r="E4" s="4" t="n">
        <v>2090</v>
      </c>
      <c r="F4" s="4">
        <f>D4-E4</f>
        <v/>
      </c>
      <c r="G4" s="5">
        <f>F4/E4</f>
        <v/>
      </c>
      <c r="H4" s="4" t="n">
        <v>4180</v>
      </c>
    </row>
    <row r="5">
      <c r="A5" s="6" t="inlineStr">
        <is>
          <t>1100</t>
        </is>
      </c>
      <c r="B5" s="6" t="inlineStr">
        <is>
          <t>Finance &amp; Controlling</t>
        </is>
      </c>
      <c r="C5" s="6" t="inlineStr">
        <is>
          <t>Jonas Richter</t>
        </is>
      </c>
      <c r="D5" s="7" t="n">
        <v>2060</v>
      </c>
      <c r="E5" s="7" t="n">
        <v>1960</v>
      </c>
      <c r="F5" s="7">
        <f>D5-E5</f>
        <v/>
      </c>
      <c r="G5" s="8">
        <f>F5/E5</f>
        <v/>
      </c>
      <c r="H5" s="7" t="n">
        <v>3920</v>
      </c>
    </row>
    <row r="6">
      <c r="A6" s="3" t="inlineStr">
        <is>
          <t>1150</t>
        </is>
      </c>
      <c r="B6" s="3" t="inlineStr">
        <is>
          <t>Investor Relations</t>
        </is>
      </c>
      <c r="C6" s="3" t="inlineStr">
        <is>
          <t>Jonas Richter</t>
        </is>
      </c>
      <c r="D6" s="4" t="n">
        <v>427</v>
      </c>
      <c r="E6" s="4" t="n">
        <v>430</v>
      </c>
      <c r="F6" s="4">
        <f>D6-E6</f>
        <v/>
      </c>
      <c r="G6" s="5">
        <f>F6/E6</f>
        <v/>
      </c>
      <c r="H6" s="4" t="n">
        <v>860</v>
      </c>
    </row>
    <row r="7">
      <c r="A7" s="6" t="inlineStr">
        <is>
          <t>1200</t>
        </is>
      </c>
      <c r="B7" s="6" t="inlineStr">
        <is>
          <t>Legal &amp; Contracts</t>
        </is>
      </c>
      <c r="C7" s="6" t="inlineStr">
        <is>
          <t>Priya Nair</t>
        </is>
      </c>
      <c r="D7" s="7" t="n">
        <v>1287</v>
      </c>
      <c r="E7" s="7" t="n">
        <v>1370</v>
      </c>
      <c r="F7" s="7">
        <f>D7-E7</f>
        <v/>
      </c>
      <c r="G7" s="8">
        <f>F7/E7</f>
        <v/>
      </c>
      <c r="H7" s="7" t="n">
        <v>2740</v>
      </c>
    </row>
    <row r="8">
      <c r="A8" s="3" t="inlineStr">
        <is>
          <t>1300</t>
        </is>
      </c>
      <c r="B8" s="3" t="inlineStr">
        <is>
          <t>HR &amp; People</t>
        </is>
      </c>
      <c r="C8" s="3" t="inlineStr">
        <is>
          <t>Julia Hoffmann</t>
        </is>
      </c>
      <c r="D8" s="4" t="n">
        <v>1151</v>
      </c>
      <c r="E8" s="4" t="n">
        <v>1180</v>
      </c>
      <c r="F8" s="4">
        <f>D8-E8</f>
        <v/>
      </c>
      <c r="G8" s="5">
        <f>F8/E8</f>
        <v/>
      </c>
      <c r="H8" s="4" t="n">
        <v>2360</v>
      </c>
    </row>
    <row r="9">
      <c r="A9" s="6" t="inlineStr">
        <is>
          <t>1400</t>
        </is>
      </c>
      <c r="B9" s="6" t="inlineStr">
        <is>
          <t>IT &amp; Security</t>
        </is>
      </c>
      <c r="C9" s="6" t="inlineStr">
        <is>
          <t>Katarzyna Nowak</t>
        </is>
      </c>
      <c r="D9" s="7" t="n">
        <v>3051</v>
      </c>
      <c r="E9" s="7" t="n">
        <v>3225</v>
      </c>
      <c r="F9" s="7">
        <f>D9-E9</f>
        <v/>
      </c>
      <c r="G9" s="8">
        <f>F9/E9</f>
        <v/>
      </c>
      <c r="H9" s="7" t="n">
        <v>6450</v>
      </c>
    </row>
    <row r="10">
      <c r="A10" s="3" t="inlineStr">
        <is>
          <t>1500</t>
        </is>
      </c>
      <c r="B10" s="3" t="inlineStr">
        <is>
          <t>Marketing &amp; Communications</t>
        </is>
      </c>
      <c r="C10" s="3" t="inlineStr">
        <is>
          <t>Noah Fischer</t>
        </is>
      </c>
      <c r="D10" s="4" t="n">
        <v>1044</v>
      </c>
      <c r="E10" s="4" t="n">
        <v>1090</v>
      </c>
      <c r="F10" s="4">
        <f>D10-E10</f>
        <v/>
      </c>
      <c r="G10" s="5">
        <f>F10/E10</f>
        <v/>
      </c>
      <c r="H10" s="4" t="n">
        <v>2180</v>
      </c>
    </row>
    <row r="11">
      <c r="A11" s="6" t="inlineStr">
        <is>
          <t>2000</t>
        </is>
      </c>
      <c r="B11" s="6" t="inlineStr">
        <is>
          <t>Asset Operations (fleet)</t>
        </is>
      </c>
      <c r="C11" s="6" t="inlineStr">
        <is>
          <t>David Chen</t>
        </is>
      </c>
      <c r="D11" s="7" t="n">
        <v>30747</v>
      </c>
      <c r="E11" s="7" t="n">
        <v>30700</v>
      </c>
      <c r="F11" s="7">
        <f>D11-E11</f>
        <v/>
      </c>
      <c r="G11" s="8">
        <f>F11/E11</f>
        <v/>
      </c>
      <c r="H11" s="7" t="n">
        <v>61400</v>
      </c>
    </row>
    <row r="12">
      <c r="A12" s="3" t="inlineStr">
        <is>
          <t>2100</t>
        </is>
      </c>
      <c r="B12" s="3" t="inlineStr">
        <is>
          <t>Kestrel Ridge Wind Farm</t>
        </is>
      </c>
      <c r="C12" s="3" t="inlineStr">
        <is>
          <t>David Chen</t>
        </is>
      </c>
      <c r="D12" s="4" t="n">
        <v>4590</v>
      </c>
      <c r="E12" s="4" t="n">
        <v>4925</v>
      </c>
      <c r="F12" s="4">
        <f>D12-E12</f>
        <v/>
      </c>
      <c r="G12" s="5">
        <f>F12/E12</f>
        <v/>
      </c>
      <c r="H12" s="4" t="n">
        <v>9850</v>
      </c>
    </row>
    <row r="13">
      <c r="A13" s="6" t="inlineStr">
        <is>
          <t>3000</t>
        </is>
      </c>
      <c r="B13" s="6" t="inlineStr">
        <is>
          <t>Engineering &amp; Site Surveys</t>
        </is>
      </c>
      <c r="C13" s="6" t="inlineStr">
        <is>
          <t>Sofie Lindqvist</t>
        </is>
      </c>
      <c r="D13" s="7" t="n">
        <v>2604</v>
      </c>
      <c r="E13" s="7" t="n">
        <v>2560</v>
      </c>
      <c r="F13" s="7">
        <f>D13-E13</f>
        <v/>
      </c>
      <c r="G13" s="8">
        <f>F13/E13</f>
        <v/>
      </c>
      <c r="H13" s="7" t="n">
        <v>5120</v>
      </c>
    </row>
    <row r="14">
      <c r="A14" s="3" t="inlineStr">
        <is>
          <t>3100</t>
        </is>
      </c>
      <c r="B14" s="3" t="inlineStr">
        <is>
          <t>Grid &amp; Permits</t>
        </is>
      </c>
      <c r="C14" s="3" t="inlineStr">
        <is>
          <t>Sofie Lindqvist</t>
        </is>
      </c>
      <c r="D14" s="4" t="n">
        <v>1381</v>
      </c>
      <c r="E14" s="4" t="n">
        <v>1305</v>
      </c>
      <c r="F14" s="4">
        <f>D14-E14</f>
        <v/>
      </c>
      <c r="G14" s="5">
        <f>F14/E14</f>
        <v/>
      </c>
      <c r="H14" s="4" t="n">
        <v>2610</v>
      </c>
    </row>
    <row r="15">
      <c r="A15" s="6" t="inlineStr">
        <is>
          <t>4100</t>
        </is>
      </c>
      <c r="B15" s="6" t="inlineStr">
        <is>
          <t>Millbrook Solar &amp; Storage (development)</t>
        </is>
      </c>
      <c r="C15" s="6" t="inlineStr">
        <is>
          <t>Liam McAllister</t>
        </is>
      </c>
      <c r="D15" s="7" t="n">
        <v>1025</v>
      </c>
      <c r="E15" s="7" t="n">
        <v>970</v>
      </c>
      <c r="F15" s="7">
        <f>D15-E15</f>
        <v/>
      </c>
      <c r="G15" s="8">
        <f>F15/E15</f>
        <v/>
      </c>
      <c r="H15" s="7" t="n">
        <v>1940</v>
      </c>
    </row>
    <row r="16">
      <c r="A16" s="3" t="inlineStr">
        <is>
          <t>4200</t>
        </is>
      </c>
      <c r="B16" s="3" t="inlineStr">
        <is>
          <t>Fenwick Battery Storage (development)</t>
        </is>
      </c>
      <c r="C16" s="3" t="inlineStr">
        <is>
          <t>Liam McAllister</t>
        </is>
      </c>
      <c r="D16" s="4" t="n">
        <v>388</v>
      </c>
      <c r="E16" s="4" t="n">
        <v>390</v>
      </c>
      <c r="F16" s="4">
        <f>D16-E16</f>
        <v/>
      </c>
      <c r="G16" s="5">
        <f>F16/E16</f>
        <v/>
      </c>
      <c r="H16" s="4" t="n">
        <v>780</v>
      </c>
    </row>
    <row r="17">
      <c r="A17" s="6" t="inlineStr">
        <is>
          <t>4300</t>
        </is>
      </c>
      <c r="B17" s="6" t="inlineStr">
        <is>
          <t>Green Hydrogen Pilot</t>
        </is>
      </c>
      <c r="C17" s="6" t="inlineStr">
        <is>
          <t>Sofie Lindqvist</t>
        </is>
      </c>
      <c r="D17" s="7" t="n">
        <v>351</v>
      </c>
      <c r="E17" s="7" t="n">
        <v>345</v>
      </c>
      <c r="F17" s="7">
        <f>D17-E17</f>
        <v/>
      </c>
      <c r="G17" s="8">
        <f>F17/E17</f>
        <v/>
      </c>
      <c r="H17" s="7" t="n">
        <v>690</v>
      </c>
    </row>
    <row r="18">
      <c r="A18" s="3" t="inlineStr">
        <is>
          <t>4900</t>
        </is>
      </c>
      <c r="B18" s="3" t="inlineStr">
        <is>
          <t>Business development &amp; bids</t>
        </is>
      </c>
      <c r="C18" s="3" t="inlineStr">
        <is>
          <t>Dr. Amara Okafor</t>
        </is>
      </c>
      <c r="D18" s="4" t="n">
        <v>1576</v>
      </c>
      <c r="E18" s="4" t="n">
        <v>1675</v>
      </c>
      <c r="F18" s="4">
        <f>D18-E18</f>
        <v/>
      </c>
      <c r="G18" s="5">
        <f>F18/E18</f>
        <v/>
      </c>
      <c r="H18" s="4" t="n">
        <v>3350</v>
      </c>
    </row>
    <row r="19">
      <c r="A19" s="6" t="inlineStr">
        <is>
          <t>5000</t>
        </is>
      </c>
      <c r="B19" s="6" t="inlineStr">
        <is>
          <t>Health, Safety &amp; Environment</t>
        </is>
      </c>
      <c r="C19" s="6" t="inlineStr">
        <is>
          <t>Hannah Weber</t>
        </is>
      </c>
      <c r="D19" s="7" t="n">
        <v>1160</v>
      </c>
      <c r="E19" s="7" t="n">
        <v>1140</v>
      </c>
      <c r="F19" s="7">
        <f>D19-E19</f>
        <v/>
      </c>
      <c r="G19" s="8">
        <f>F19/E19</f>
        <v/>
      </c>
      <c r="H19" s="7" t="n">
        <v>2280</v>
      </c>
    </row>
    <row r="20">
      <c r="A20" s="3" t="inlineStr">
        <is>
          <t>5100</t>
        </is>
      </c>
      <c r="B20" s="3" t="inlineStr">
        <is>
          <t>Procurement &amp; Supply Chain</t>
        </is>
      </c>
      <c r="C20" s="3" t="inlineStr">
        <is>
          <t>Elena Márquez</t>
        </is>
      </c>
      <c r="D20" s="4" t="n">
        <v>848</v>
      </c>
      <c r="E20" s="4" t="n">
        <v>860</v>
      </c>
      <c r="F20" s="4">
        <f>D20-E20</f>
        <v/>
      </c>
      <c r="G20" s="5">
        <f>F20/E20</f>
        <v/>
      </c>
      <c r="H20" s="4" t="n">
        <v>1720</v>
      </c>
    </row>
    <row r="21">
      <c r="A21" s="6" t="inlineStr">
        <is>
          <t>6000</t>
        </is>
      </c>
      <c r="B21" s="6" t="inlineStr">
        <is>
          <t>Community Engagement &amp; benefit funds</t>
        </is>
      </c>
      <c r="C21" s="6" t="inlineStr">
        <is>
          <t>Tom Berger</t>
        </is>
      </c>
      <c r="D21" s="7" t="n">
        <v>1124</v>
      </c>
      <c r="E21" s="7" t="n">
        <v>1070</v>
      </c>
      <c r="F21" s="7">
        <f>D21-E21</f>
        <v/>
      </c>
      <c r="G21" s="8">
        <f>F21/E21</f>
        <v/>
      </c>
      <c r="H21" s="7" t="n">
        <v>2140</v>
      </c>
    </row>
    <row r="22">
      <c r="A22" s="3" t="inlineStr"/>
      <c r="B22" s="3" t="inlineStr">
        <is>
          <t>Total</t>
        </is>
      </c>
      <c r="C22" s="3" t="inlineStr"/>
      <c r="D22" s="4">
        <f>SUM(D4:D21)</f>
        <v/>
      </c>
      <c r="E22" s="4">
        <f>SUM(E4:E21)</f>
        <v/>
      </c>
      <c r="F22" s="4">
        <f>D22-E22</f>
        <v/>
      </c>
      <c r="G22" s="5">
        <f>F22/E22</f>
        <v/>
      </c>
      <c r="H22" s="4">
        <f>SUM(H4:H21)</f>
        <v/>
      </c>
    </row>
  </sheetData>
  <autoFilter ref="A3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2026-07-13T10:00:00Z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