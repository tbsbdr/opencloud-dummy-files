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s &amp; Uses" sheetId="1" state="visible" r:id="rId1"/>
    <sheet xmlns:r="http://schemas.openxmlformats.org/officeDocument/2006/relationships" name="Uses" sheetId="2" state="visible" r:id="rId2"/>
    <sheet xmlns:r="http://schemas.openxmlformats.org/officeDocument/2006/relationships" name="Lenders" sheetId="3" state="visible" r:id="rId3"/>
    <sheet xmlns:r="http://schemas.openxmlformats.org/officeDocument/2006/relationships" name="Drawdowns 2026" sheetId="4" state="visible" r:id="rId4"/>
    <sheet xmlns:r="http://schemas.openxmlformats.org/officeDocument/2006/relationships" name="DSCR profile" sheetId="5" state="visible" r:id="rId5"/>
    <sheet xmlns:r="http://schemas.openxmlformats.org/officeDocument/2006/relationships" name="Key terms" sheetId="6" state="visible" r:id="rId6"/>
  </sheets>
  <definedNames>
    <definedName name="_xlnm._FilterDatabase" localSheetId="0" hidden="1">'Sources &amp; Uses'!$A$3:$C$6</definedName>
    <definedName name="_xlnm._FilterDatabase" localSheetId="1" hidden="1">'Uses'!$A$1:$B$10</definedName>
    <definedName name="_xlnm._FilterDatabase" localSheetId="2" hidden="1">'Lenders'!$A$1:$C$7</definedName>
    <definedName name="_xlnm._FilterDatabase" localSheetId="3" hidden="1">'Drawdowns 2026'!$A$1:$F$9</definedName>
    <definedName name="_xlnm._FilterDatabase" localSheetId="4" hidden="1">'DSCR profile'!$A$1:$E$19</definedName>
    <definedName name="_xlnm._FilterDatabase" localSheetId="5" hidden="1">'Key terms'!$A$1:$B$14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#,##0.0"/>
    <numFmt numFmtId="166" formatCode="0.00x"/>
  </numFmts>
  <fonts count="4">
    <font>
      <name val="Calibri"/>
      <family val="2"/>
      <color theme="1"/>
      <sz val="11"/>
      <scheme val="minor"/>
    </font>
    <font>
      <name val="Arial"/>
      <b val="1"/>
      <color rgb="000B3C5D"/>
      <sz val="14"/>
    </font>
    <font>
      <name val="Arial"/>
      <sz val="10"/>
    </font>
    <font>
      <name val="Arial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B3C5D"/>
      </patternFill>
    </fill>
    <fill>
      <patternFill patternType="solid">
        <fgColor rgb="00EEF3F6"/>
      </patternFill>
    </fill>
  </fills>
  <borders count="2">
    <border>
      <left/>
      <right/>
      <top/>
      <bottom/>
      <diagonal/>
    </border>
    <border>
      <bottom style="thin">
        <color rgb="00D5DEE5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3" fillId="2" borderId="0" applyAlignment="1" pivotButton="0" quotePrefix="0" xfId="0">
      <alignment vertical="center" wrapText="1"/>
    </xf>
    <xf numFmtId="0" fontId="2" fillId="0" borderId="1" pivotButton="0" quotePrefix="0" xfId="0"/>
    <xf numFmtId="3" fontId="2" fillId="0" borderId="1" pivotButton="0" quotePrefix="0" xfId="0"/>
    <xf numFmtId="164" fontId="2" fillId="0" borderId="1" pivotButton="0" quotePrefix="0" xfId="0"/>
    <xf numFmtId="0" fontId="2" fillId="3" borderId="1" pivotButton="0" quotePrefix="0" xfId="0"/>
    <xf numFmtId="3" fontId="2" fillId="3" borderId="1" pivotButton="0" quotePrefix="0" xfId="0"/>
    <xf numFmtId="164" fontId="2" fillId="3" borderId="1" pivotButton="0" quotePrefix="0" xfId="0"/>
    <xf numFmtId="165" fontId="2" fillId="0" borderId="1" pivotButton="0" quotePrefix="0" xfId="0"/>
    <xf numFmtId="166" fontId="2" fillId="0" borderId="1" pivotButton="0" quotePrefix="0" xfId="0"/>
    <xf numFmtId="165" fontId="2" fillId="3" borderId="1" pivotButton="0" quotePrefix="0" xfId="0"/>
    <xf numFmtId="166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3" customWidth="1" min="1" max="1"/>
    <col width="9" customWidth="1" min="2" max="2"/>
    <col width="9" customWidth="1" min="3" max="3"/>
  </cols>
  <sheetData>
    <row r="1">
      <c r="A1" s="1" t="inlineStr">
        <is>
          <t>Harrow Bay Offshore Wind – sources and uses at financial close</t>
        </is>
      </c>
    </row>
    <row r="3">
      <c r="A3" s="2" t="inlineStr">
        <is>
          <t>Sources</t>
        </is>
      </c>
      <c r="B3" s="2" t="inlineStr">
        <is>
          <t>EUR m</t>
        </is>
      </c>
      <c r="C3" s="2" t="inlineStr">
        <is>
          <t>Share</t>
        </is>
      </c>
    </row>
    <row r="4">
      <c r="A4" s="3" t="inlineStr">
        <is>
          <t>Senior debt (5 lenders)</t>
        </is>
      </c>
      <c r="B4" s="4" t="n">
        <v>1100</v>
      </c>
      <c r="C4" s="5">
        <f>B4/B6</f>
        <v/>
      </c>
    </row>
    <row r="5">
      <c r="A5" s="6" t="inlineStr">
        <is>
          <t>Equity (incl. capital increase EUR 140 m)</t>
        </is>
      </c>
      <c r="B5" s="7" t="n">
        <v>520</v>
      </c>
      <c r="C5" s="8">
        <f>B5/B6</f>
        <v/>
      </c>
    </row>
    <row r="6">
      <c r="A6" s="3" t="inlineStr">
        <is>
          <t>Total sources</t>
        </is>
      </c>
      <c r="B6" s="4">
        <f>B4+B5</f>
        <v/>
      </c>
      <c r="C6" s="5">
        <f>B6/B6</f>
        <v/>
      </c>
    </row>
  </sheetData>
  <autoFilter ref="A3:C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9" customWidth="1" min="2" max="2"/>
  </cols>
  <sheetData>
    <row r="1">
      <c r="A1" s="2" t="inlineStr">
        <is>
          <t>Uses</t>
        </is>
      </c>
      <c r="B1" s="2" t="inlineStr">
        <is>
          <t>EUR m</t>
        </is>
      </c>
    </row>
    <row r="2">
      <c r="A2" s="3" t="inlineStr">
        <is>
          <t>Wind turbines (Halden)</t>
        </is>
      </c>
      <c r="B2" s="4" t="n">
        <v>575</v>
      </c>
    </row>
    <row r="3">
      <c r="A3" s="6" t="inlineStr">
        <is>
          <t>Foundations (Rhenus)</t>
        </is>
      </c>
      <c r="B3" s="7" t="n">
        <v>268</v>
      </c>
    </row>
    <row r="4">
      <c r="A4" s="3" t="inlineStr">
        <is>
          <t>Cables (Severn)</t>
        </is>
      </c>
      <c r="B4" s="4" t="n">
        <v>232</v>
      </c>
    </row>
    <row r="5">
      <c r="A5" s="6" t="inlineStr">
        <is>
          <t>Offshore substation (Norfab)</t>
        </is>
      </c>
      <c r="B5" s="7" t="n">
        <v>196</v>
      </c>
    </row>
    <row r="6">
      <c r="A6" s="3" t="inlineStr">
        <is>
          <t>Installation, vessels and logistics</t>
        </is>
      </c>
      <c r="B6" s="4" t="n">
        <v>122</v>
      </c>
    </row>
    <row r="7">
      <c r="A7" s="6" t="inlineStr">
        <is>
          <t>Onshore and grid</t>
        </is>
      </c>
      <c r="B7" s="7" t="n">
        <v>61</v>
      </c>
    </row>
    <row r="8">
      <c r="A8" s="3" t="inlineStr">
        <is>
          <t>Development, owner's costs and insurance</t>
        </is>
      </c>
      <c r="B8" s="4" t="n">
        <v>111</v>
      </c>
    </row>
    <row r="9">
      <c r="A9" s="6" t="inlineStr">
        <is>
          <t>Contingency</t>
        </is>
      </c>
      <c r="B9" s="7" t="n">
        <v>55</v>
      </c>
    </row>
    <row r="10">
      <c r="A10" s="3" t="inlineStr">
        <is>
          <t>Total uses</t>
        </is>
      </c>
      <c r="B10" s="4">
        <f>SUM(B2:B9)</f>
        <v/>
      </c>
    </row>
  </sheetData>
  <autoFilter ref="A1:B1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53" customWidth="1" min="2" max="2"/>
    <col width="20" customWidth="1" min="3" max="3"/>
  </cols>
  <sheetData>
    <row r="1">
      <c r="A1" s="2" t="inlineStr">
        <is>
          <t>Lender</t>
        </is>
      </c>
      <c r="B1" s="2" t="inlineStr">
        <is>
          <t>Role</t>
        </is>
      </c>
      <c r="C1" s="2" t="inlineStr">
        <is>
          <t>Commitment (EUR m)</t>
        </is>
      </c>
    </row>
    <row r="2">
      <c r="A2" s="3" t="inlineStr">
        <is>
          <t>Hanseatic Infrastructure Bank</t>
        </is>
      </c>
      <c r="B2" s="3" t="inlineStr">
        <is>
          <t>Mandated lead arranger, facility and security agent</t>
        </is>
      </c>
      <c r="C2" s="3" t="n">
        <v>350</v>
      </c>
    </row>
    <row r="3">
      <c r="A3" s="6" t="inlineStr">
        <is>
          <t>Nordvik Export Finance (ECA-covered tranche)</t>
        </is>
      </c>
      <c r="B3" s="6" t="inlineStr">
        <is>
          <t>Lender</t>
        </is>
      </c>
      <c r="C3" s="6" t="n">
        <v>300</v>
      </c>
    </row>
    <row r="4">
      <c r="A4" s="3" t="inlineStr">
        <is>
          <t>Elbe Commercial Bank</t>
        </is>
      </c>
      <c r="B4" s="3" t="inlineStr">
        <is>
          <t>Lender</t>
        </is>
      </c>
      <c r="C4" s="3" t="n">
        <v>200</v>
      </c>
    </row>
    <row r="5">
      <c r="A5" s="6" t="inlineStr">
        <is>
          <t>Caledonia Capital Bank plc</t>
        </is>
      </c>
      <c r="B5" s="6" t="inlineStr">
        <is>
          <t>Lender</t>
        </is>
      </c>
      <c r="C5" s="6" t="n">
        <v>150</v>
      </c>
    </row>
    <row r="6">
      <c r="A6" s="3" t="inlineStr">
        <is>
          <t>Lindwurm Infrastructure Debt Fund II</t>
        </is>
      </c>
      <c r="B6" s="3" t="inlineStr">
        <is>
          <t>Institutional lender</t>
        </is>
      </c>
      <c r="C6" s="3" t="n">
        <v>100</v>
      </c>
    </row>
    <row r="7">
      <c r="A7" s="6" t="inlineStr">
        <is>
          <t>Total</t>
        </is>
      </c>
      <c r="B7" s="6" t="inlineStr"/>
      <c r="C7" s="6">
        <f>SUM(C2:C6)</f>
        <v/>
      </c>
    </row>
  </sheetData>
  <autoFilter ref="A1:C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5" customWidth="1" min="2" max="2"/>
    <col width="19" customWidth="1" min="3" max="3"/>
    <col width="17" customWidth="1" min="4" max="4"/>
    <col width="19" customWidth="1" min="5" max="5"/>
    <col width="13" customWidth="1" min="6" max="6"/>
  </cols>
  <sheetData>
    <row r="1">
      <c r="A1" s="2" t="inlineStr">
        <is>
          <t>Month</t>
        </is>
      </c>
      <c r="B1" s="2" t="inlineStr">
        <is>
          <t>Cumulative cost (EUR m)</t>
        </is>
      </c>
      <c r="C1" s="2" t="inlineStr">
        <is>
          <t>Cumulative equity</t>
        </is>
      </c>
      <c r="D1" s="2" t="inlineStr">
        <is>
          <t>Cumulative debt</t>
        </is>
      </c>
      <c r="E1" s="2" t="inlineStr">
        <is>
          <t>Drawdown in month</t>
        </is>
      </c>
      <c r="F1" s="2" t="inlineStr">
        <is>
          <t>Request no.</t>
        </is>
      </c>
    </row>
    <row r="2">
      <c r="A2" s="3" t="inlineStr">
        <is>
          <t>2026-01</t>
        </is>
      </c>
      <c r="B2" s="4" t="n">
        <v>507</v>
      </c>
      <c r="C2" s="4" t="n">
        <v>507</v>
      </c>
      <c r="D2" s="4" t="n">
        <v>0</v>
      </c>
      <c r="E2" s="4" t="n">
        <v>0</v>
      </c>
      <c r="F2" s="3" t="inlineStr"/>
    </row>
    <row r="3">
      <c r="A3" s="6" t="inlineStr">
        <is>
          <t>2026-02</t>
        </is>
      </c>
      <c r="B3" s="7" t="n">
        <v>516</v>
      </c>
      <c r="C3" s="7" t="n">
        <v>516</v>
      </c>
      <c r="D3" s="7" t="n">
        <v>0</v>
      </c>
      <c r="E3" s="7" t="n">
        <v>0</v>
      </c>
      <c r="F3" s="6" t="inlineStr"/>
    </row>
    <row r="4">
      <c r="A4" s="3" t="inlineStr">
        <is>
          <t>2026-03</t>
        </is>
      </c>
      <c r="B4" s="4" t="n">
        <v>561</v>
      </c>
      <c r="C4" s="4" t="n">
        <v>520</v>
      </c>
      <c r="D4" s="4" t="n">
        <v>41</v>
      </c>
      <c r="E4" s="4" t="n">
        <v>41</v>
      </c>
      <c r="F4" s="3" t="inlineStr">
        <is>
          <t>01</t>
        </is>
      </c>
    </row>
    <row r="5">
      <c r="A5" s="6" t="inlineStr">
        <is>
          <t>2026-04</t>
        </is>
      </c>
      <c r="B5" s="7" t="n">
        <v>604</v>
      </c>
      <c r="C5" s="7" t="n">
        <v>520</v>
      </c>
      <c r="D5" s="7" t="n">
        <v>84</v>
      </c>
      <c r="E5" s="7" t="n">
        <v>43</v>
      </c>
      <c r="F5" s="6" t="inlineStr">
        <is>
          <t>02</t>
        </is>
      </c>
    </row>
    <row r="6">
      <c r="A6" s="3" t="inlineStr">
        <is>
          <t>2026-05</t>
        </is>
      </c>
      <c r="B6" s="4" t="n">
        <v>646</v>
      </c>
      <c r="C6" s="4" t="n">
        <v>520</v>
      </c>
      <c r="D6" s="4" t="n">
        <v>126</v>
      </c>
      <c r="E6" s="4" t="n">
        <v>42</v>
      </c>
      <c r="F6" s="3" t="inlineStr">
        <is>
          <t>03</t>
        </is>
      </c>
    </row>
    <row r="7">
      <c r="A7" s="6" t="inlineStr">
        <is>
          <t>2026-06</t>
        </is>
      </c>
      <c r="B7" s="7" t="n">
        <v>688</v>
      </c>
      <c r="C7" s="7" t="n">
        <v>520</v>
      </c>
      <c r="D7" s="7" t="n">
        <v>168</v>
      </c>
      <c r="E7" s="7" t="n">
        <v>42</v>
      </c>
      <c r="F7" s="6" t="inlineStr">
        <is>
          <t>04</t>
        </is>
      </c>
    </row>
    <row r="8">
      <c r="A8" s="3" t="inlineStr">
        <is>
          <t>2026-07</t>
        </is>
      </c>
      <c r="B8" s="4" t="n">
        <v>742</v>
      </c>
      <c r="C8" s="4" t="n">
        <v>520</v>
      </c>
      <c r="D8" s="4" t="n">
        <v>222</v>
      </c>
      <c r="E8" s="4" t="n">
        <v>54</v>
      </c>
      <c r="F8" s="3" t="inlineStr">
        <is>
          <t>05</t>
        </is>
      </c>
    </row>
    <row r="9">
      <c r="A9" s="6" t="inlineStr">
        <is>
          <t>2026-08</t>
        </is>
      </c>
      <c r="B9" s="7" t="n">
        <v>905</v>
      </c>
      <c r="C9" s="7" t="n">
        <v>520</v>
      </c>
      <c r="D9" s="7" t="n">
        <v>385</v>
      </c>
      <c r="E9" s="7" t="n">
        <v>163</v>
      </c>
      <c r="F9" s="6" t="inlineStr">
        <is>
          <t>06</t>
        </is>
      </c>
    </row>
  </sheetData>
  <autoFilter ref="A1:F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9" customWidth="1" min="2" max="2"/>
    <col width="22" customWidth="1" min="3" max="3"/>
    <col width="10" customWidth="1" min="4" max="4"/>
    <col width="10" customWidth="1" min="5" max="5"/>
  </cols>
  <sheetData>
    <row r="1">
      <c r="A1" s="2" t="inlineStr">
        <is>
          <t>Year</t>
        </is>
      </c>
      <c r="B1" s="2" t="inlineStr">
        <is>
          <t>CFADS P50 (EUR m)</t>
        </is>
      </c>
      <c r="C1" s="2" t="inlineStr">
        <is>
          <t>Debt service (EUR m)</t>
        </is>
      </c>
      <c r="D1" s="2" t="inlineStr">
        <is>
          <t>DSCR P50</t>
        </is>
      </c>
      <c r="E1" s="2" t="inlineStr">
        <is>
          <t>DSCR P90</t>
        </is>
      </c>
    </row>
    <row r="2">
      <c r="A2" s="3" t="n">
        <v>2029</v>
      </c>
      <c r="B2" s="9" t="n">
        <v>165.4</v>
      </c>
      <c r="C2" s="9" t="n">
        <v>118.1</v>
      </c>
      <c r="D2" s="10">
        <f>B2/C2</f>
        <v/>
      </c>
      <c r="E2" s="10" t="n">
        <v>1.3</v>
      </c>
    </row>
    <row r="3">
      <c r="A3" s="6" t="n">
        <v>2030</v>
      </c>
      <c r="B3" s="11" t="n">
        <v>164.2</v>
      </c>
      <c r="C3" s="11" t="n">
        <v>117</v>
      </c>
      <c r="D3" s="12">
        <f>B3/C3</f>
        <v/>
      </c>
      <c r="E3" s="12" t="n">
        <v>1.31</v>
      </c>
    </row>
    <row r="4">
      <c r="A4" s="3" t="n">
        <v>2031</v>
      </c>
      <c r="B4" s="9" t="n">
        <v>163.2</v>
      </c>
      <c r="C4" s="9" t="n">
        <v>115.9</v>
      </c>
      <c r="D4" s="10">
        <f>B4/C4</f>
        <v/>
      </c>
      <c r="E4" s="10" t="n">
        <v>1.31</v>
      </c>
    </row>
    <row r="5">
      <c r="A5" s="6" t="n">
        <v>2032</v>
      </c>
      <c r="B5" s="11" t="n">
        <v>161.6</v>
      </c>
      <c r="C5" s="11" t="n">
        <v>114.4</v>
      </c>
      <c r="D5" s="12">
        <f>B5/C5</f>
        <v/>
      </c>
      <c r="E5" s="12" t="n">
        <v>1.31</v>
      </c>
    </row>
    <row r="6">
      <c r="A6" s="3" t="n">
        <v>2033</v>
      </c>
      <c r="B6" s="9" t="n">
        <v>161.4</v>
      </c>
      <c r="C6" s="9" t="n">
        <v>114</v>
      </c>
      <c r="D6" s="10">
        <f>B6/C6</f>
        <v/>
      </c>
      <c r="E6" s="10" t="n">
        <v>1.32</v>
      </c>
    </row>
    <row r="7">
      <c r="A7" s="6" t="n">
        <v>2034</v>
      </c>
      <c r="B7" s="11" t="n">
        <v>161.5</v>
      </c>
      <c r="C7" s="11" t="n">
        <v>113.7</v>
      </c>
      <c r="D7" s="12">
        <f>B7/C7</f>
        <v/>
      </c>
      <c r="E7" s="12" t="n">
        <v>1.32</v>
      </c>
    </row>
    <row r="8">
      <c r="A8" s="3" t="n">
        <v>2035</v>
      </c>
      <c r="B8" s="9" t="n">
        <v>161.2</v>
      </c>
      <c r="C8" s="9" t="n">
        <v>113.2</v>
      </c>
      <c r="D8" s="10">
        <f>B8/C8</f>
        <v/>
      </c>
      <c r="E8" s="10" t="n">
        <v>1.32</v>
      </c>
    </row>
    <row r="9">
      <c r="A9" s="6" t="n">
        <v>2036</v>
      </c>
      <c r="B9" s="11" t="n">
        <v>159.1</v>
      </c>
      <c r="C9" s="11" t="n">
        <v>111.4</v>
      </c>
      <c r="D9" s="12">
        <f>B9/C9</f>
        <v/>
      </c>
      <c r="E9" s="12" t="n">
        <v>1.33</v>
      </c>
    </row>
    <row r="10">
      <c r="A10" s="3" t="n">
        <v>2037</v>
      </c>
      <c r="B10" s="9" t="n">
        <v>156.4</v>
      </c>
      <c r="C10" s="9" t="n">
        <v>109.2</v>
      </c>
      <c r="D10" s="10">
        <f>B10/C10</f>
        <v/>
      </c>
      <c r="E10" s="10" t="n">
        <v>1.33</v>
      </c>
    </row>
    <row r="11">
      <c r="A11" s="6" t="n">
        <v>2038</v>
      </c>
      <c r="B11" s="11" t="n">
        <v>157.8</v>
      </c>
      <c r="C11" s="11" t="n">
        <v>109.9</v>
      </c>
      <c r="D11" s="12">
        <f>B11/C11</f>
        <v/>
      </c>
      <c r="E11" s="12" t="n">
        <v>1.34</v>
      </c>
    </row>
    <row r="12">
      <c r="A12" s="3" t="n">
        <v>2039</v>
      </c>
      <c r="B12" s="9" t="n">
        <v>153.7</v>
      </c>
      <c r="C12" s="9" t="n">
        <v>106.7</v>
      </c>
      <c r="D12" s="10">
        <f>B12/C12</f>
        <v/>
      </c>
      <c r="E12" s="10" t="n">
        <v>1.34</v>
      </c>
    </row>
    <row r="13">
      <c r="A13" s="6" t="n">
        <v>2040</v>
      </c>
      <c r="B13" s="11" t="n">
        <v>154.9</v>
      </c>
      <c r="C13" s="11" t="n">
        <v>107.3</v>
      </c>
      <c r="D13" s="12">
        <f>B13/C13</f>
        <v/>
      </c>
      <c r="E13" s="12" t="n">
        <v>1.34</v>
      </c>
    </row>
    <row r="14">
      <c r="A14" s="3" t="n">
        <v>2041</v>
      </c>
      <c r="B14" s="9" t="n">
        <v>153</v>
      </c>
      <c r="C14" s="9" t="n">
        <v>105.7</v>
      </c>
      <c r="D14" s="10">
        <f>B14/C14</f>
        <v/>
      </c>
      <c r="E14" s="10" t="n">
        <v>1.35</v>
      </c>
    </row>
    <row r="15">
      <c r="A15" s="6" t="n">
        <v>2042</v>
      </c>
      <c r="B15" s="11" t="n">
        <v>150</v>
      </c>
      <c r="C15" s="11" t="n">
        <v>103.3</v>
      </c>
      <c r="D15" s="12">
        <f>B15/C15</f>
        <v/>
      </c>
      <c r="E15" s="12" t="n">
        <v>1.35</v>
      </c>
    </row>
    <row r="16">
      <c r="A16" s="3" t="n">
        <v>2043</v>
      </c>
      <c r="B16" s="9" t="n">
        <v>151.5</v>
      </c>
      <c r="C16" s="9" t="n">
        <v>104.1</v>
      </c>
      <c r="D16" s="10">
        <f>B16/C16</f>
        <v/>
      </c>
      <c r="E16" s="10" t="n">
        <v>1.35</v>
      </c>
    </row>
    <row r="17">
      <c r="A17" s="6" t="n">
        <v>2044</v>
      </c>
      <c r="B17" s="11" t="n">
        <v>151.3</v>
      </c>
      <c r="C17" s="11" t="n">
        <v>103.6</v>
      </c>
      <c r="D17" s="12">
        <f>B17/C17</f>
        <v/>
      </c>
      <c r="E17" s="12" t="n">
        <v>1.36</v>
      </c>
    </row>
    <row r="18">
      <c r="A18" s="3" t="n">
        <v>2045</v>
      </c>
      <c r="B18" s="9" t="n">
        <v>147.8</v>
      </c>
      <c r="C18" s="9" t="n">
        <v>101</v>
      </c>
      <c r="D18" s="10">
        <f>B18/C18</f>
        <v/>
      </c>
      <c r="E18" s="10" t="n">
        <v>1.36</v>
      </c>
    </row>
    <row r="19">
      <c r="A19" s="6" t="n">
        <v>2046</v>
      </c>
      <c r="B19" s="11" t="n">
        <v>146.2</v>
      </c>
      <c r="C19" s="11" t="n">
        <v>99.59999999999999</v>
      </c>
      <c r="D19" s="12">
        <f>B19/C19</f>
        <v/>
      </c>
      <c r="E19" s="12" t="n">
        <v>1.37</v>
      </c>
    </row>
  </sheetData>
  <autoFilter ref="A1:E1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90" customWidth="1" min="2" max="2"/>
  </cols>
  <sheetData>
    <row r="1">
      <c r="A1" s="2" t="inlineStr">
        <is>
          <t>Term</t>
        </is>
      </c>
      <c r="B1" s="2" t="inlineStr">
        <is>
          <t>Details</t>
        </is>
      </c>
    </row>
    <row r="2">
      <c r="A2" s="3" t="inlineStr">
        <is>
          <t>Facility</t>
        </is>
      </c>
      <c r="B2" s="3" t="inlineStr">
        <is>
          <t>EUR 1,100 m senior secured construction and term loan facility</t>
        </is>
      </c>
    </row>
    <row r="3">
      <c r="A3" s="6" t="inlineStr">
        <is>
          <t>Mandated lead arranger</t>
        </is>
      </c>
      <c r="B3" s="6" t="inlineStr">
        <is>
          <t>Hanseatic Infrastructure Bank</t>
        </is>
      </c>
    </row>
    <row r="4">
      <c r="A4" s="3" t="inlineStr">
        <is>
          <t>Financial close</t>
        </is>
      </c>
      <c r="B4" s="3" t="inlineStr">
        <is>
          <t>12 February 2026</t>
        </is>
      </c>
    </row>
    <row r="5">
      <c r="A5" s="6" t="inlineStr">
        <is>
          <t>Tenor</t>
        </is>
      </c>
      <c r="B5" s="6" t="inlineStr">
        <is>
          <t>Construction period plus 18 years after COD (final maturity 2046)</t>
        </is>
      </c>
    </row>
    <row r="6">
      <c r="A6" s="3" t="inlineStr">
        <is>
          <t>Margin</t>
        </is>
      </c>
      <c r="B6" s="3" t="inlineStr">
        <is>
          <t>165 bps during construction, 150–190 bps step-up during operations</t>
        </is>
      </c>
    </row>
    <row r="7">
      <c r="A7" s="6" t="inlineStr">
        <is>
          <t>Interest hedging</t>
        </is>
      </c>
      <c r="B7" s="6" t="inlineStr">
        <is>
          <t>85 % of the expected debt hedged with amortising swaps at 2.74 % (5 counterparties)</t>
        </is>
      </c>
    </row>
    <row r="8">
      <c r="A8" s="3" t="inlineStr">
        <is>
          <t>Debt : equity</t>
        </is>
      </c>
      <c r="B8" s="3" t="inlineStr">
        <is>
          <t>68 : 32 (EUR 1,100 m debt / EUR 520 m equity)</t>
        </is>
      </c>
    </row>
    <row r="9">
      <c r="A9" s="6" t="inlineStr">
        <is>
          <t>Equity first</t>
        </is>
      </c>
      <c r="B9" s="6" t="inlineStr">
        <is>
          <t>Yes – equity of EUR 520 m fully contributed before first debt drawdown</t>
        </is>
      </c>
    </row>
    <row r="10">
      <c r="A10" s="3" t="inlineStr">
        <is>
          <t>DSCR covenant</t>
        </is>
      </c>
      <c r="B10" s="3" t="inlineStr">
        <is>
          <t>Lock-up 1.15x, default 1.05x (historic and projected, P90)</t>
        </is>
      </c>
    </row>
    <row r="11">
      <c r="A11" s="6" t="inlineStr">
        <is>
          <t>Sizing DSCR</t>
        </is>
      </c>
      <c r="B11" s="6" t="inlineStr">
        <is>
          <t>1.30x P90 / 1.40x P50</t>
        </is>
      </c>
    </row>
    <row r="12">
      <c r="A12" s="3" t="inlineStr">
        <is>
          <t>Contingency</t>
        </is>
      </c>
      <c r="B12" s="3" t="inlineStr">
        <is>
          <t>EUR 96 m contingency in the budget plus EUR 45 m standby equity</t>
        </is>
      </c>
    </row>
    <row r="13">
      <c r="A13" s="6" t="inlineStr">
        <is>
          <t>Revenue support</t>
        </is>
      </c>
      <c r="B13" s="6" t="inlineStr">
        <is>
          <t>15-year PPA WE-PPA-2026-004 with Arcturus Steel AG for 150 MW plus CfD for the remaining capacity</t>
        </is>
      </c>
    </row>
    <row r="14">
      <c r="A14" s="3" t="inlineStr">
        <is>
          <t>Lenders' technical adviser</t>
        </is>
      </c>
      <c r="B14" s="3" t="inlineStr">
        <is>
          <t>Strandberg Technical Advisory</t>
        </is>
      </c>
    </row>
  </sheetData>
  <autoFilter ref="A1:B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Jonas Richter</dc:creator>
  <dcterms:created xmlns:dcterms="http://purl.org/dc/terms/" xmlns:xsi="http://www.w3.org/2001/XMLSchema-instance" xsi:type="dcterms:W3CDTF">2026-02-13T10:00:00Z</dcterms:created>
  <dcterms:modified xmlns:dcterms="http://purl.org/dc/terms/" xmlns:xsi="http://www.w3.org/2001/XMLSchema-instance" xsi:type="dcterms:W3CDTF">2026-10-04T19:30:24Z</dcterms:modified>
  <cp:lastModifiedBy>Jonas Richter</cp:lastModifiedBy>
</cp:coreProperties>
</file>