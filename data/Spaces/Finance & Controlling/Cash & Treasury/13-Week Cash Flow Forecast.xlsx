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 week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'13 weeks'!$A$3:$K$16</definedName>
    <definedName name="_xlnm._FilterDatabase" localSheetId="1" hidden="1">'Notes'!$A$1:$A$5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Rolling 13-week cash flow forecast – as of 28 September 2026 (EUR m)</t>
        </is>
      </c>
    </row>
    <row r="3">
      <c r="A3" s="2" t="inlineStr">
        <is>
          <t>Week</t>
        </is>
      </c>
      <c r="B3" s="2" t="inlineStr">
        <is>
          <t>Week starting</t>
        </is>
      </c>
      <c r="C3" s="2" t="inlineStr">
        <is>
          <t>Opening cash</t>
        </is>
      </c>
      <c r="D3" s="2" t="inlineStr">
        <is>
          <t>Power sales receipts</t>
        </is>
      </c>
      <c r="E3" s="2" t="inlineStr">
        <is>
          <t>Other receipts</t>
        </is>
      </c>
      <c r="F3" s="2" t="inlineStr">
        <is>
          <t>O&amp;M and suppliers</t>
        </is>
      </c>
      <c r="G3" s="2" t="inlineStr">
        <is>
          <t>Payroll</t>
        </is>
      </c>
      <c r="H3" s="2" t="inlineStr">
        <is>
          <t>Interest</t>
        </is>
      </c>
      <c r="I3" s="2" t="inlineStr">
        <is>
          <t>Taxes</t>
        </is>
      </c>
      <c r="J3" s="2" t="inlineStr">
        <is>
          <t>Capex (equity share)</t>
        </is>
      </c>
      <c r="K3" s="2" t="inlineStr">
        <is>
          <t>Closing cash</t>
        </is>
      </c>
    </row>
    <row r="4">
      <c r="A4" s="3" t="n">
        <v>40</v>
      </c>
      <c r="B4" s="3" t="inlineStr">
        <is>
          <t>2026-09-28</t>
        </is>
      </c>
      <c r="C4" s="4" t="n">
        <v>224.6</v>
      </c>
      <c r="D4" s="4" t="n">
        <v>5.4</v>
      </c>
      <c r="E4" s="4" t="n">
        <v>0.3</v>
      </c>
      <c r="F4" s="4" t="n">
        <v>-3.8</v>
      </c>
      <c r="G4" s="4" t="n">
        <v>-4.9</v>
      </c>
      <c r="H4" s="4" t="n">
        <v>-6.8</v>
      </c>
      <c r="I4" s="4" t="n">
        <v>0</v>
      </c>
      <c r="J4" s="4" t="n">
        <v>-1.5</v>
      </c>
      <c r="K4" s="4">
        <f>SUM(C4:J4)</f>
        <v/>
      </c>
    </row>
    <row r="5">
      <c r="A5" s="5" t="n">
        <v>41</v>
      </c>
      <c r="B5" s="5" t="inlineStr">
        <is>
          <t>2026-10-05</t>
        </is>
      </c>
      <c r="C5" s="6">
        <f>K4</f>
        <v/>
      </c>
      <c r="D5" s="6" t="n">
        <v>15.1</v>
      </c>
      <c r="E5" s="6" t="n">
        <v>0.6</v>
      </c>
      <c r="F5" s="6" t="n">
        <v>-4.1</v>
      </c>
      <c r="G5" s="6" t="n">
        <v>0</v>
      </c>
      <c r="H5" s="6" t="n">
        <v>0</v>
      </c>
      <c r="I5" s="6" t="n">
        <v>-3.4</v>
      </c>
      <c r="J5" s="6" t="n">
        <v>-1.6</v>
      </c>
      <c r="K5" s="6">
        <f>SUM(C5:J5)</f>
        <v/>
      </c>
    </row>
    <row r="6">
      <c r="A6" s="3" t="n">
        <v>42</v>
      </c>
      <c r="B6" s="3" t="inlineStr">
        <is>
          <t>2026-10-12</t>
        </is>
      </c>
      <c r="C6" s="4">
        <f>K5</f>
        <v/>
      </c>
      <c r="D6" s="4" t="n">
        <v>7.1</v>
      </c>
      <c r="E6" s="4" t="n">
        <v>0.2</v>
      </c>
      <c r="F6" s="4" t="n">
        <v>-4.5</v>
      </c>
      <c r="G6" s="4" t="n">
        <v>0</v>
      </c>
      <c r="H6" s="4" t="n">
        <v>0</v>
      </c>
      <c r="I6" s="4" t="n">
        <v>0</v>
      </c>
      <c r="J6" s="4" t="n">
        <v>-0.9</v>
      </c>
      <c r="K6" s="4">
        <f>SUM(C6:J6)</f>
        <v/>
      </c>
    </row>
    <row r="7">
      <c r="A7" s="5" t="n">
        <v>43</v>
      </c>
      <c r="B7" s="5" t="inlineStr">
        <is>
          <t>2026-10-19</t>
        </is>
      </c>
      <c r="C7" s="6">
        <f>K6</f>
        <v/>
      </c>
      <c r="D7" s="6" t="n">
        <v>7.6</v>
      </c>
      <c r="E7" s="6" t="n">
        <v>0.6</v>
      </c>
      <c r="F7" s="6" t="n">
        <v>-4.4</v>
      </c>
      <c r="G7" s="6" t="n">
        <v>0</v>
      </c>
      <c r="H7" s="6" t="n">
        <v>0</v>
      </c>
      <c r="I7" s="6" t="n">
        <v>0</v>
      </c>
      <c r="J7" s="6" t="n">
        <v>-1.7</v>
      </c>
      <c r="K7" s="6">
        <f>SUM(C7:J7)</f>
        <v/>
      </c>
    </row>
    <row r="8">
      <c r="A8" s="3" t="n">
        <v>44</v>
      </c>
      <c r="B8" s="3" t="inlineStr">
        <is>
          <t>2026-10-26</t>
        </is>
      </c>
      <c r="C8" s="4">
        <f>K7</f>
        <v/>
      </c>
      <c r="D8" s="4" t="n">
        <v>7.3</v>
      </c>
      <c r="E8" s="4" t="n">
        <v>0.8</v>
      </c>
      <c r="F8" s="4" t="n">
        <v>-5.6</v>
      </c>
      <c r="G8" s="4" t="n">
        <v>-4.9</v>
      </c>
      <c r="H8" s="4" t="n">
        <v>0</v>
      </c>
      <c r="I8" s="4" t="n">
        <v>0</v>
      </c>
      <c r="J8" s="4" t="n">
        <v>-1.1</v>
      </c>
      <c r="K8" s="4">
        <f>SUM(C8:J8)</f>
        <v/>
      </c>
    </row>
    <row r="9">
      <c r="A9" s="5" t="n">
        <v>45</v>
      </c>
      <c r="B9" s="5" t="inlineStr">
        <is>
          <t>2026-11-02</t>
        </is>
      </c>
      <c r="C9" s="6">
        <f>K8</f>
        <v/>
      </c>
      <c r="D9" s="6" t="n">
        <v>14.8</v>
      </c>
      <c r="E9" s="6" t="n">
        <v>0.3</v>
      </c>
      <c r="F9" s="6" t="n">
        <v>-3.4</v>
      </c>
      <c r="G9" s="6" t="n">
        <v>0</v>
      </c>
      <c r="H9" s="6" t="n">
        <v>0</v>
      </c>
      <c r="I9" s="6" t="n">
        <v>0</v>
      </c>
      <c r="J9" s="6" t="n">
        <v>-0.5</v>
      </c>
      <c r="K9" s="6">
        <f>SUM(C9:J9)</f>
        <v/>
      </c>
    </row>
    <row r="10">
      <c r="A10" s="3" t="n">
        <v>46</v>
      </c>
      <c r="B10" s="3" t="inlineStr">
        <is>
          <t>2026-11-09</t>
        </is>
      </c>
      <c r="C10" s="4">
        <f>K9</f>
        <v/>
      </c>
      <c r="D10" s="4" t="n">
        <v>8.199999999999999</v>
      </c>
      <c r="E10" s="4" t="n">
        <v>0.3</v>
      </c>
      <c r="F10" s="4" t="n">
        <v>-5.3</v>
      </c>
      <c r="G10" s="4" t="n">
        <v>0</v>
      </c>
      <c r="H10" s="4" t="n">
        <v>-1.1</v>
      </c>
      <c r="I10" s="4" t="n">
        <v>0</v>
      </c>
      <c r="J10" s="4" t="n">
        <v>-1.5</v>
      </c>
      <c r="K10" s="4">
        <f>SUM(C10:J10)</f>
        <v/>
      </c>
    </row>
    <row r="11">
      <c r="A11" s="5" t="n">
        <v>47</v>
      </c>
      <c r="B11" s="5" t="inlineStr">
        <is>
          <t>2026-11-16</t>
        </is>
      </c>
      <c r="C11" s="6">
        <f>K10</f>
        <v/>
      </c>
      <c r="D11" s="6" t="n">
        <v>7.2</v>
      </c>
      <c r="E11" s="6" t="n">
        <v>0.3</v>
      </c>
      <c r="F11" s="6" t="n">
        <v>-4.1</v>
      </c>
      <c r="G11" s="6" t="n">
        <v>0</v>
      </c>
      <c r="H11" s="6" t="n">
        <v>0</v>
      </c>
      <c r="I11" s="6" t="n">
        <v>0</v>
      </c>
      <c r="J11" s="6" t="n">
        <v>-1.8</v>
      </c>
      <c r="K11" s="6">
        <f>SUM(C11:J11)</f>
        <v/>
      </c>
    </row>
    <row r="12">
      <c r="A12" s="3" t="n">
        <v>48</v>
      </c>
      <c r="B12" s="3" t="inlineStr">
        <is>
          <t>2026-11-23</t>
        </is>
      </c>
      <c r="C12" s="4">
        <f>K11</f>
        <v/>
      </c>
      <c r="D12" s="4" t="n">
        <v>8.800000000000001</v>
      </c>
      <c r="E12" s="4" t="n">
        <v>0.6</v>
      </c>
      <c r="F12" s="4" t="n">
        <v>-5.4</v>
      </c>
      <c r="G12" s="4" t="n">
        <v>-4.9</v>
      </c>
      <c r="H12" s="4" t="n">
        <v>0</v>
      </c>
      <c r="I12" s="4" t="n">
        <v>0</v>
      </c>
      <c r="J12" s="4" t="n">
        <v>-1.3</v>
      </c>
      <c r="K12" s="4">
        <f>SUM(C12:J12)</f>
        <v/>
      </c>
    </row>
    <row r="13">
      <c r="A13" s="5" t="n">
        <v>49</v>
      </c>
      <c r="B13" s="5" t="inlineStr">
        <is>
          <t>2026-11-30</t>
        </is>
      </c>
      <c r="C13" s="6">
        <f>K12</f>
        <v/>
      </c>
      <c r="D13" s="6" t="n">
        <v>15.4</v>
      </c>
      <c r="E13" s="6" t="n">
        <v>0.2</v>
      </c>
      <c r="F13" s="6" t="n">
        <v>-3.4</v>
      </c>
      <c r="G13" s="6" t="n">
        <v>-4.9</v>
      </c>
      <c r="H13" s="6" t="n">
        <v>0</v>
      </c>
      <c r="I13" s="6" t="n">
        <v>0</v>
      </c>
      <c r="J13" s="6" t="n">
        <v>-1.6</v>
      </c>
      <c r="K13" s="6">
        <f>SUM(C13:J13)</f>
        <v/>
      </c>
    </row>
    <row r="14">
      <c r="A14" s="3" t="n">
        <v>50</v>
      </c>
      <c r="B14" s="3" t="inlineStr">
        <is>
          <t>2026-12-07</t>
        </is>
      </c>
      <c r="C14" s="4">
        <f>K13</f>
        <v/>
      </c>
      <c r="D14" s="4" t="n">
        <v>9.300000000000001</v>
      </c>
      <c r="E14" s="4" t="n">
        <v>0.8</v>
      </c>
      <c r="F14" s="4" t="n">
        <v>-5.4</v>
      </c>
      <c r="G14" s="4" t="n">
        <v>0</v>
      </c>
      <c r="H14" s="4" t="n">
        <v>0</v>
      </c>
      <c r="I14" s="4" t="n">
        <v>-3.4</v>
      </c>
      <c r="J14" s="4" t="n">
        <v>-0.8</v>
      </c>
      <c r="K14" s="4">
        <f>SUM(C14:J14)</f>
        <v/>
      </c>
    </row>
    <row r="15">
      <c r="A15" s="5" t="n">
        <v>51</v>
      </c>
      <c r="B15" s="5" t="inlineStr">
        <is>
          <t>2026-12-14</t>
        </is>
      </c>
      <c r="C15" s="6">
        <f>K14</f>
        <v/>
      </c>
      <c r="D15" s="6" t="n">
        <v>9.4</v>
      </c>
      <c r="E15" s="6" t="n">
        <v>0.2</v>
      </c>
      <c r="F15" s="6" t="n">
        <v>-5.5</v>
      </c>
      <c r="G15" s="6" t="n">
        <v>0</v>
      </c>
      <c r="H15" s="6" t="n">
        <v>0</v>
      </c>
      <c r="I15" s="6" t="n">
        <v>0</v>
      </c>
      <c r="J15" s="6" t="n">
        <v>-1.6</v>
      </c>
      <c r="K15" s="6">
        <f>SUM(C15:J15)</f>
        <v/>
      </c>
    </row>
    <row r="16">
      <c r="A16" s="3" t="n">
        <v>52</v>
      </c>
      <c r="B16" s="3" t="inlineStr">
        <is>
          <t>2026-12-21</t>
        </is>
      </c>
      <c r="C16" s="4">
        <f>K15</f>
        <v/>
      </c>
      <c r="D16" s="4" t="n">
        <v>8.800000000000001</v>
      </c>
      <c r="E16" s="4" t="n">
        <v>0.6</v>
      </c>
      <c r="F16" s="4" t="n">
        <v>-5.3</v>
      </c>
      <c r="G16" s="4" t="n">
        <v>0</v>
      </c>
      <c r="H16" s="4" t="n">
        <v>-6.8</v>
      </c>
      <c r="I16" s="4" t="n">
        <v>0</v>
      </c>
      <c r="J16" s="4" t="n">
        <v>-1.5</v>
      </c>
      <c r="K16" s="4">
        <f>SUM(C16:J16)</f>
        <v/>
      </c>
    </row>
  </sheetData>
  <autoFilter ref="A3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Note</t>
        </is>
      </c>
    </row>
    <row r="2">
      <c r="A2" s="3" t="inlineStr">
        <is>
          <t>Opening cash = bank balances 25 Sep 2026 incl. Harrow Bay project accounts (restricted EUR 41.3 m)</t>
        </is>
      </c>
    </row>
    <row r="3">
      <c r="A3" s="5" t="inlineStr">
        <is>
          <t>Harrow Bay capex is funded by debt drawdowns – only owner's costs shown here</t>
        </is>
      </c>
    </row>
    <row r="4">
      <c r="A4" s="3" t="inlineStr">
        <is>
          <t>Interest on 31 Dec includes Kestrel Ridge project loan and swap settlements</t>
        </is>
      </c>
    </row>
    <row r="5">
      <c r="A5" s="5" t="inlineStr">
        <is>
          <t>RCF of EUR 150 m undrawn since March 2026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