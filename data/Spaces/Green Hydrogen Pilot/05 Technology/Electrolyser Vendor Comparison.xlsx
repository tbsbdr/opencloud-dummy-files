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Shortlist" sheetId="3" state="visible" r:id="rId3"/>
  </sheets>
  <definedNames>
    <definedName name="_xlnm._FilterDatabase" localSheetId="0" hidden="1">'Comparison'!$A$1:$K$5</definedName>
    <definedName name="_xlnm._FilterDatabase" localSheetId="1" hidden="1">'Weights'!$A$1:$B$6</definedName>
    <definedName name="_xlnm._FilterDatabase" localSheetId="2" hidden="1">'Shortlist'!$A$1:$C$5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4" fontId="1" fillId="0" borderId="1" pivotButton="0" quotePrefix="0" xfId="0"/>
    <xf numFmtId="0" fontId="1" fillId="3" borderId="1" pivotButton="0" quotePrefix="0" xfId="0"/>
    <xf numFmtId="4" fontId="1" fillId="3" borderId="1" pivotButton="0" quotePrefix="0" xfId="0"/>
    <xf numFmtId="9" fontId="1" fillId="0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26" customWidth="1" min="9" max="9"/>
    <col width="34" customWidth="1" min="10" max="10"/>
    <col width="10" customWidth="1" min="11" max="11"/>
  </cols>
  <sheetData>
    <row r="1">
      <c r="A1" s="1" t="inlineStr">
        <is>
          <t>Vendor</t>
        </is>
      </c>
      <c r="B1" s="1" t="inlineStr">
        <is>
          <t>Technology</t>
        </is>
      </c>
      <c r="C1" s="1" t="inlineStr">
        <is>
          <t>Module size (MW)</t>
        </is>
      </c>
      <c r="D1" s="1" t="inlineStr">
        <is>
          <t>System consumption (kWh/kg)</t>
        </is>
      </c>
      <c r="E1" s="1" t="inlineStr">
        <is>
          <t>Stack lifetime (h)</t>
        </is>
      </c>
      <c r="F1" s="1" t="inlineStr">
        <is>
          <t>Footprint (m²)</t>
        </is>
      </c>
      <c r="G1" s="1" t="inlineStr">
        <is>
          <t>Delivery (months)</t>
        </is>
      </c>
      <c r="H1" s="1" t="inlineStr">
        <is>
          <t>Price stack + PE (EUR m for 5 MW)</t>
        </is>
      </c>
      <c r="I1" s="1" t="inlineStr">
        <is>
          <t>References</t>
        </is>
      </c>
      <c r="J1" s="1" t="inlineStr">
        <is>
          <t>Warranty</t>
        </is>
      </c>
      <c r="K1" s="1" t="inlineStr">
        <is>
          <t>Score (weighted)</t>
        </is>
      </c>
    </row>
    <row r="2">
      <c r="A2" s="2" t="inlineStr">
        <is>
          <t>Elytra Hydrogen</t>
        </is>
      </c>
      <c r="B2" s="2" t="inlineStr">
        <is>
          <t>PEM</t>
        </is>
      </c>
      <c r="C2" s="2" t="n">
        <v>2.5</v>
      </c>
      <c r="D2" s="2" t="n">
        <v>53.5</v>
      </c>
      <c r="E2" s="2" t="n">
        <v>80000</v>
      </c>
      <c r="F2" s="2" t="n">
        <v>450</v>
      </c>
      <c r="G2" s="2" t="n">
        <v>14</v>
      </c>
      <c r="H2" s="3" t="n">
        <v>4.35</v>
      </c>
      <c r="I2" s="2" t="inlineStr">
        <is>
          <t>3 sites, largest 10 MW</t>
        </is>
      </c>
      <c r="J2" s="2" t="inlineStr">
        <is>
          <t>2 years full wrap</t>
        </is>
      </c>
      <c r="K2" s="2">
        <f>ROUND(0.3*(58-D2)/7*5+0.2*E2/95000*5+0.2*(5-H2)*2.5+0.15*(18-G2)/6*5+0.15*(800-F2)/400*5,2)</f>
        <v/>
      </c>
    </row>
    <row r="3">
      <c r="A3" s="4" t="inlineStr">
        <is>
          <t>NordStack PEM</t>
        </is>
      </c>
      <c r="B3" s="4" t="inlineStr">
        <is>
          <t>PEM</t>
        </is>
      </c>
      <c r="C3" s="4" t="n">
        <v>5</v>
      </c>
      <c r="D3" s="4" t="n">
        <v>55</v>
      </c>
      <c r="E3" s="4" t="n">
        <v>70000</v>
      </c>
      <c r="F3" s="4" t="n">
        <v>420</v>
      </c>
      <c r="G3" s="4" t="n">
        <v>12</v>
      </c>
      <c r="H3" s="5" t="n">
        <v>4.05</v>
      </c>
      <c r="I3" s="4" t="inlineStr">
        <is>
          <t>5 sites, largest 20 MW</t>
        </is>
      </c>
      <c r="J3" s="4" t="inlineStr">
        <is>
          <t>2 years + stack degradation guarantee</t>
        </is>
      </c>
      <c r="K3" s="4">
        <f>ROUND(0.3*(58-D3)/7*5+0.2*E3/95000*5+0.2*(5-H3)*2.5+0.15*(18-G3)/6*5+0.15*(800-F3)/400*5,2)</f>
        <v/>
      </c>
    </row>
    <row r="4">
      <c r="A4" s="2" t="inlineStr">
        <is>
          <t>Hydraxis</t>
        </is>
      </c>
      <c r="B4" s="2" t="inlineStr">
        <is>
          <t>PEM</t>
        </is>
      </c>
      <c r="C4" s="2" t="n">
        <v>1.25</v>
      </c>
      <c r="D4" s="2" t="n">
        <v>56</v>
      </c>
      <c r="E4" s="2" t="n">
        <v>60000</v>
      </c>
      <c r="F4" s="2" t="n">
        <v>520</v>
      </c>
      <c r="G4" s="2" t="n">
        <v>16</v>
      </c>
      <c r="H4" s="3" t="n">
        <v>3.9</v>
      </c>
      <c r="I4" s="2" t="inlineStr">
        <is>
          <t>2 pilot sites</t>
        </is>
      </c>
      <c r="J4" s="2" t="inlineStr">
        <is>
          <t>1 year</t>
        </is>
      </c>
      <c r="K4" s="2">
        <f>ROUND(0.3*(58-D4)/7*5+0.2*E4/95000*5+0.2*(5-H4)*2.5+0.15*(18-G4)/6*5+0.15*(800-F4)/400*5,2)</f>
        <v/>
      </c>
    </row>
    <row r="5">
      <c r="A5" s="4" t="inlineStr">
        <is>
          <t>AquaVolt (reference)</t>
        </is>
      </c>
      <c r="B5" s="4" t="inlineStr">
        <is>
          <t>Pressurised alkaline</t>
        </is>
      </c>
      <c r="C5" s="4" t="n">
        <v>5</v>
      </c>
      <c r="D5" s="4" t="n">
        <v>52</v>
      </c>
      <c r="E5" s="4" t="n">
        <v>90000</v>
      </c>
      <c r="F5" s="4" t="n">
        <v>760</v>
      </c>
      <c r="G5" s="4" t="n">
        <v>15</v>
      </c>
      <c r="H5" s="5" t="n">
        <v>3.45</v>
      </c>
      <c r="I5" s="4" t="inlineStr">
        <is>
          <t>12 sites, largest 100 MW</t>
        </is>
      </c>
      <c r="J5" s="4" t="inlineStr">
        <is>
          <t>2 years</t>
        </is>
      </c>
      <c r="K5" s="4">
        <f>ROUND(0.3*(58-D5)/7*5+0.2*E5/95000*5+0.2*(5-H5)*2.5+0.15*(18-G5)/6*5+0.15*(800-F5)/400*5,2)</f>
        <v/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Criterion</t>
        </is>
      </c>
      <c r="B1" s="1" t="inlineStr">
        <is>
          <t>Weight</t>
        </is>
      </c>
    </row>
    <row r="2">
      <c r="A2" s="2" t="inlineStr">
        <is>
          <t>Efficiency</t>
        </is>
      </c>
      <c r="B2" s="6" t="n">
        <v>0.3</v>
      </c>
    </row>
    <row r="3">
      <c r="A3" s="4" t="inlineStr">
        <is>
          <t>Lifetime</t>
        </is>
      </c>
      <c r="B3" s="7" t="n">
        <v>0.2</v>
      </c>
    </row>
    <row r="4">
      <c r="A4" s="2" t="inlineStr">
        <is>
          <t>Price</t>
        </is>
      </c>
      <c r="B4" s="6" t="n">
        <v>0.2</v>
      </c>
    </row>
    <row r="5">
      <c r="A5" s="4" t="inlineStr">
        <is>
          <t>Delivery</t>
        </is>
      </c>
      <c r="B5" s="7" t="n">
        <v>0.15</v>
      </c>
    </row>
    <row r="6">
      <c r="A6" s="2" t="inlineStr">
        <is>
          <t>Footprint</t>
        </is>
      </c>
      <c r="B6" s="6" t="n">
        <v>0.15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</cols>
  <sheetData>
    <row r="1">
      <c r="A1" s="1" t="inlineStr">
        <is>
          <t>Vendor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NordStack PEM</t>
        </is>
      </c>
      <c r="B2" s="2" t="inlineStr">
        <is>
          <t>Shortlist for FEED</t>
        </is>
      </c>
      <c r="C2" s="2" t="inlineStr">
        <is>
          <t>Best price, degradation guarantee</t>
        </is>
      </c>
    </row>
    <row r="3">
      <c r="A3" s="4" t="inlineStr">
        <is>
          <t>Elytra Hydrogen</t>
        </is>
      </c>
      <c r="B3" s="4" t="inlineStr">
        <is>
          <t>Shortlist for FEED</t>
        </is>
      </c>
      <c r="C3" s="4" t="inlineStr">
        <is>
          <t>Best efficiency and lifetime</t>
        </is>
      </c>
    </row>
    <row r="4">
      <c r="A4" s="2" t="inlineStr">
        <is>
          <t>Hydraxis</t>
        </is>
      </c>
      <c r="B4" s="2" t="inlineStr">
        <is>
          <t>Not shortlisted</t>
        </is>
      </c>
      <c r="C4" s="2" t="inlineStr">
        <is>
          <t>Limited references, short warranty</t>
        </is>
      </c>
    </row>
    <row r="5">
      <c r="A5" s="4" t="inlineStr">
        <is>
          <t>AquaVolt</t>
        </is>
      </c>
      <c r="B5" s="4" t="inlineStr">
        <is>
          <t>Reference only</t>
        </is>
      </c>
      <c r="C5" s="4" t="inlineStr">
        <is>
          <t>Alkaline – slower dynamics, larger footprint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2026-05-25T10:00:00Z</dcterms:created>
  <dcterms:modified xmlns:dcterms="http://purl.org/dc/terms/" xmlns:xsi="http://www.w3.org/2001/XMLSchema-instance" xsi:type="dcterms:W3CDTF">2026-10-04T19:30:31Z</dcterms:modified>
  <cp:lastModifiedBy>Sofie Lindqvist</cp:lastModifiedBy>
</cp:coreProperties>
</file>