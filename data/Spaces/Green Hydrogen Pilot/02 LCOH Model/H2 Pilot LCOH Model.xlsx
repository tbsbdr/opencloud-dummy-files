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pex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Sensitivities" sheetId="4" state="visible" r:id="rId4"/>
    <sheet xmlns:r="http://schemas.openxmlformats.org/officeDocument/2006/relationships" name="Price x hours" sheetId="5" state="visible" r:id="rId5"/>
  </sheets>
  <definedNames>
    <definedName name="_xlnm._FilterDatabase" localSheetId="0" hidden="1">'Inputs'!$A$1:$D$13</definedName>
    <definedName name="_xlnm._FilterDatabase" localSheetId="1" hidden="1">'Capex'!$A$1:$B$10</definedName>
    <definedName name="_xlnm._FilterDatabase" localSheetId="2" hidden="1">'Calculation'!$A$1:$D$12</definedName>
    <definedName name="_xlnm._FilterDatabase" localSheetId="3" hidden="1">'Sensitivities'!$A$1:$D$6</definedName>
    <definedName name="_xlnm._FilterDatabase" localSheetId="4" hidden="1">'Price x hours'!$A$3:$G$9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B3C5D"/>
      <sz val="14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  <xf numFmtId="165" fontId="1" fillId="0" borderId="1" pivotButton="0" quotePrefix="0" xfId="0"/>
    <xf numFmtId="165" fontId="1" fillId="3" borderId="1" pivotButton="0" quotePrefix="0" xfId="0"/>
    <xf numFmtId="4" fontId="1" fillId="0" borderId="1" pivotButton="0" quotePrefix="0" xfId="0"/>
    <xf numFmtId="4" fontId="1" fillId="3" borderId="1" pivotButton="0" quotePrefix="0" xfId="0"/>
    <xf numFmtId="2" fontId="1" fillId="0" borderId="1" pivotButton="0" quotePrefix="0" xfId="0"/>
    <xf numFmtId="2" fontId="1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36" customWidth="1" min="4" max="4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</row>
    <row r="2">
      <c r="A2" s="2" t="inlineStr">
        <is>
          <t>Electrolyser capacity</t>
        </is>
      </c>
      <c r="B2" s="3" t="n">
        <v>5</v>
      </c>
      <c r="C2" s="2" t="inlineStr">
        <is>
          <t>MW</t>
        </is>
      </c>
      <c r="D2" s="2" t="inlineStr">
        <is>
          <t>Feasibility study</t>
        </is>
      </c>
    </row>
    <row r="3">
      <c r="A3" s="4" t="inlineStr">
        <is>
          <t>Full-load hours</t>
        </is>
      </c>
      <c r="B3" s="5" t="n">
        <v>5200</v>
      </c>
      <c r="C3" s="4" t="inlineStr">
        <is>
          <t>h/a</t>
        </is>
      </c>
      <c r="D3" s="4" t="inlineStr">
        <is>
          <t>Dispatch model</t>
        </is>
      </c>
    </row>
    <row r="4">
      <c r="A4" s="2" t="inlineStr">
        <is>
          <t>Specific consumption (system)</t>
        </is>
      </c>
      <c r="B4" s="3" t="n">
        <v>54</v>
      </c>
      <c r="C4" s="2" t="inlineStr">
        <is>
          <t>kWh/kg</t>
        </is>
      </c>
      <c r="D4" s="2" t="inlineStr">
        <is>
          <t>Vendor RFI, average of PEM bids</t>
        </is>
      </c>
    </row>
    <row r="5">
      <c r="A5" s="4" t="inlineStr">
        <is>
          <t>Electricity price incl. network charges</t>
        </is>
      </c>
      <c r="B5" s="5" t="n">
        <v>62</v>
      </c>
      <c r="C5" s="4" t="inlineStr">
        <is>
          <t>EUR/MWh</t>
        </is>
      </c>
      <c r="D5" s="4" t="inlineStr">
        <is>
          <t>Sleeved Harrow Bay + grid</t>
        </is>
      </c>
    </row>
    <row r="6">
      <c r="A6" s="2" t="inlineStr">
        <is>
          <t>WACC (nominal, pre-tax)</t>
        </is>
      </c>
      <c r="B6" s="3" t="n">
        <v>0.07000000000000001</v>
      </c>
      <c r="C6" s="2" t="inlineStr"/>
      <c r="D6" s="2" t="inlineStr">
        <is>
          <t>Finance guidance 2026</t>
        </is>
      </c>
    </row>
    <row r="7">
      <c r="A7" s="4" t="inlineStr">
        <is>
          <t>Lifetime</t>
        </is>
      </c>
      <c r="B7" s="5" t="n">
        <v>20</v>
      </c>
      <c r="C7" s="4" t="inlineStr">
        <is>
          <t>years</t>
        </is>
      </c>
      <c r="D7" s="4" t="inlineStr"/>
    </row>
    <row r="8">
      <c r="A8" s="2" t="inlineStr">
        <is>
          <t>Total capex</t>
        </is>
      </c>
      <c r="B8" s="3">
        <f>Capex!B10</f>
        <v/>
      </c>
      <c r="C8" s="2" t="inlineStr">
        <is>
          <t>EUR m</t>
        </is>
      </c>
      <c r="D8" s="2" t="inlineStr">
        <is>
          <t>Capex tab</t>
        </is>
      </c>
    </row>
    <row r="9">
      <c r="A9" s="4" t="inlineStr">
        <is>
          <t>Fixed O&amp;M</t>
        </is>
      </c>
      <c r="B9" s="5" t="n">
        <v>0.025</v>
      </c>
      <c r="C9" s="4" t="inlineStr">
        <is>
          <t>of capex p.a.</t>
        </is>
      </c>
      <c r="D9" s="4" t="inlineStr"/>
    </row>
    <row r="10">
      <c r="A10" s="2" t="inlineStr">
        <is>
          <t>Stack replacement provision</t>
        </is>
      </c>
      <c r="B10" s="3" t="n">
        <v>0.22</v>
      </c>
      <c r="C10" s="2" t="inlineStr">
        <is>
          <t>EUR m/a</t>
        </is>
      </c>
      <c r="D10" s="2" t="inlineStr">
        <is>
          <t>Replacement at ~70,000 h</t>
        </is>
      </c>
    </row>
    <row r="11">
      <c r="A11" s="4" t="inlineStr">
        <is>
          <t>Staff (2 FTE shared)</t>
        </is>
      </c>
      <c r="B11" s="5" t="n">
        <v>0.25</v>
      </c>
      <c r="C11" s="4" t="inlineStr">
        <is>
          <t>EUR m/a</t>
        </is>
      </c>
      <c r="D11" s="4" t="inlineStr"/>
    </row>
    <row r="12">
      <c r="A12" s="2" t="inlineStr">
        <is>
          <t>Water and consumables</t>
        </is>
      </c>
      <c r="B12" s="3" t="n">
        <v>0.03</v>
      </c>
      <c r="C12" s="2" t="inlineStr">
        <is>
          <t>EUR m/a</t>
        </is>
      </c>
      <c r="D12" s="2" t="inlineStr"/>
    </row>
    <row r="13">
      <c r="A13" s="4" t="inlineStr">
        <is>
          <t>Innovation Fund grant</t>
        </is>
      </c>
      <c r="B13" s="5" t="n">
        <v>10.5</v>
      </c>
      <c r="C13" s="4" t="inlineStr">
        <is>
          <t>EUR m</t>
        </is>
      </c>
      <c r="D13" s="4" t="inlineStr">
        <is>
          <t>Scenario – set to 0 for no-grant case</t>
        </is>
      </c>
    </row>
  </sheetData>
  <autoFilter ref="A1:D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</cols>
  <sheetData>
    <row r="1">
      <c r="A1" s="1" t="inlineStr">
        <is>
          <t>Item</t>
        </is>
      </c>
      <c r="B1" s="1" t="inlineStr">
        <is>
          <t>EUR m</t>
        </is>
      </c>
    </row>
    <row r="2">
      <c r="A2" s="2" t="inlineStr">
        <is>
          <t>Electrolyser stacks and power electronics</t>
        </is>
      </c>
      <c r="B2" s="6" t="n">
        <v>7.4</v>
      </c>
    </row>
    <row r="3">
      <c r="A3" s="4" t="inlineStr">
        <is>
          <t>Balance of plant (water treatment, cooling, purification)</t>
        </is>
      </c>
      <c r="B3" s="7" t="n">
        <v>3.1</v>
      </c>
    </row>
    <row r="4">
      <c r="A4" s="2" t="inlineStr">
        <is>
          <t>Compression (30 → 200 bar) and buffer storage 2.5 t</t>
        </is>
      </c>
      <c r="B4" s="6" t="n">
        <v>2.3</v>
      </c>
    </row>
    <row r="5">
      <c r="A5" s="4" t="inlineStr">
        <is>
          <t>Hydrogen pipeline to Arcturus rolling mill (1.4 km)</t>
        </is>
      </c>
      <c r="B5" s="7" t="n">
        <v>1.3</v>
      </c>
    </row>
    <row r="6">
      <c r="A6" s="2" t="inlineStr">
        <is>
          <t>Grid connection 33 kV and transformer</t>
        </is>
      </c>
      <c r="B6" s="6" t="n">
        <v>1.6</v>
      </c>
    </row>
    <row r="7">
      <c r="A7" s="4" t="inlineStr">
        <is>
          <t>Civil works and electrolyser hall</t>
        </is>
      </c>
      <c r="B7" s="7" t="n">
        <v>2.2</v>
      </c>
    </row>
    <row r="8">
      <c r="A8" s="2" t="inlineStr">
        <is>
          <t>Engineering, project management, owner's costs</t>
        </is>
      </c>
      <c r="B8" s="6" t="n">
        <v>1.9</v>
      </c>
    </row>
    <row r="9">
      <c r="A9" s="4" t="inlineStr">
        <is>
          <t>Contingency (≈ 9 %)</t>
        </is>
      </c>
      <c r="B9" s="7" t="n">
        <v>1.7</v>
      </c>
    </row>
    <row r="10">
      <c r="A10" s="2" t="inlineStr">
        <is>
          <t>Total</t>
        </is>
      </c>
      <c r="B10" s="6">
        <f>SUM(B2:B9)</f>
        <v/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Calculation</t>
        </is>
      </c>
      <c r="B1" s="1" t="inlineStr">
        <is>
          <t>No grant</t>
        </is>
      </c>
      <c r="C1" s="1" t="inlineStr">
        <is>
          <t>With grant</t>
        </is>
      </c>
      <c r="D1" s="1" t="inlineStr">
        <is>
          <t>Unit</t>
        </is>
      </c>
    </row>
    <row r="2">
      <c r="A2" s="2" t="inlineStr">
        <is>
          <t>Electricity consumed</t>
        </is>
      </c>
      <c r="B2" s="8">
        <f>Inputs!B2*Inputs!B3</f>
        <v/>
      </c>
      <c r="C2" s="8">
        <f>Inputs!B2*Inputs!B3</f>
        <v/>
      </c>
      <c r="D2" s="2" t="inlineStr">
        <is>
          <t>MWh/a</t>
        </is>
      </c>
    </row>
    <row r="3">
      <c r="A3" s="4" t="inlineStr">
        <is>
          <t>Hydrogen produced</t>
        </is>
      </c>
      <c r="B3" s="9">
        <f>B2*1000/Inputs!B4</f>
        <v/>
      </c>
      <c r="C3" s="9">
        <f>C2*1000/Inputs!B4</f>
        <v/>
      </c>
      <c r="D3" s="4" t="inlineStr">
        <is>
          <t>kg/a</t>
        </is>
      </c>
    </row>
    <row r="4">
      <c r="A4" s="2" t="inlineStr">
        <is>
          <t>Capital recovery factor</t>
        </is>
      </c>
      <c r="B4" s="8">
        <f>Inputs!B6/(1-(1+Inputs!B6)^-Inputs!B7)</f>
        <v/>
      </c>
      <c r="C4" s="8">
        <f>B4</f>
        <v/>
      </c>
      <c r="D4" s="2" t="inlineStr"/>
    </row>
    <row r="5">
      <c r="A5" s="4" t="inlineStr">
        <is>
          <t>Annualised capex</t>
        </is>
      </c>
      <c r="B5" s="9">
        <f>Inputs!B8*B4</f>
        <v/>
      </c>
      <c r="C5" s="9">
        <f>(Inputs!B8-Inputs!B13)*C4</f>
        <v/>
      </c>
      <c r="D5" s="4" t="inlineStr">
        <is>
          <t>EUR m/a</t>
        </is>
      </c>
    </row>
    <row r="6">
      <c r="A6" s="2" t="inlineStr">
        <is>
          <t>Fixed opex</t>
        </is>
      </c>
      <c r="B6" s="8">
        <f>Inputs!B8*Inputs!B9+Inputs!B10+Inputs!B11+Inputs!B12</f>
        <v/>
      </c>
      <c r="C6" s="8">
        <f>B6</f>
        <v/>
      </c>
      <c r="D6" s="2" t="inlineStr">
        <is>
          <t>EUR m/a</t>
        </is>
      </c>
    </row>
    <row r="7">
      <c r="A7" s="4" t="inlineStr">
        <is>
          <t>Electricity cost</t>
        </is>
      </c>
      <c r="B7" s="9">
        <f>B2*Inputs!B5/1000000</f>
        <v/>
      </c>
      <c r="C7" s="9">
        <f>C2*Inputs!B5/1000000</f>
        <v/>
      </c>
      <c r="D7" s="4" t="inlineStr">
        <is>
          <t>EUR m/a</t>
        </is>
      </c>
    </row>
    <row r="8">
      <c r="A8" s="2" t="inlineStr">
        <is>
          <t>Total annual cost</t>
        </is>
      </c>
      <c r="B8" s="8">
        <f>B5+B6+B7</f>
        <v/>
      </c>
      <c r="C8" s="8">
        <f>C5+C6+C7</f>
        <v/>
      </c>
      <c r="D8" s="2" t="inlineStr">
        <is>
          <t>EUR m/a</t>
        </is>
      </c>
    </row>
    <row r="9">
      <c r="A9" s="4" t="inlineStr">
        <is>
          <t>LCOH</t>
        </is>
      </c>
      <c r="B9" s="9">
        <f>B8*1000000/B3</f>
        <v/>
      </c>
      <c r="C9" s="9">
        <f>C8*1000000/C3</f>
        <v/>
      </c>
      <c r="D9" s="4" t="inlineStr">
        <is>
          <t>EUR/kg</t>
        </is>
      </c>
    </row>
    <row r="10">
      <c r="A10" s="2" t="inlineStr">
        <is>
          <t xml:space="preserve">  of which capex</t>
        </is>
      </c>
      <c r="B10" s="8">
        <f>B5*1000000/B3</f>
        <v/>
      </c>
      <c r="C10" s="8">
        <f>C5*1000000/C3</f>
        <v/>
      </c>
      <c r="D10" s="2" t="inlineStr">
        <is>
          <t>EUR/kg</t>
        </is>
      </c>
    </row>
    <row r="11">
      <c r="A11" s="4" t="inlineStr">
        <is>
          <t xml:space="preserve">  of which fixed opex</t>
        </is>
      </c>
      <c r="B11" s="9">
        <f>B6*1000000/B3</f>
        <v/>
      </c>
      <c r="C11" s="9">
        <f>C6*1000000/C3</f>
        <v/>
      </c>
      <c r="D11" s="4" t="inlineStr">
        <is>
          <t>EUR/kg</t>
        </is>
      </c>
    </row>
    <row r="12">
      <c r="A12" s="2" t="inlineStr">
        <is>
          <t xml:space="preserve">  of which electricity</t>
        </is>
      </c>
      <c r="B12" s="8">
        <f>B7*1000000/B3</f>
        <v/>
      </c>
      <c r="C12" s="8">
        <f>C7*1000000/C3</f>
        <v/>
      </c>
      <c r="D12" s="2" t="inlineStr">
        <is>
          <t>EUR/kg</t>
        </is>
      </c>
    </row>
  </sheetData>
  <autoFilter ref="A1:D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10" customWidth="1" min="4" max="4"/>
  </cols>
  <sheetData>
    <row r="1">
      <c r="A1" s="1" t="inlineStr">
        <is>
          <t>Sensitivity</t>
        </is>
      </c>
      <c r="B1" s="1" t="inlineStr">
        <is>
          <t>Favourable (EUR/kg)</t>
        </is>
      </c>
      <c r="C1" s="1" t="inlineStr">
        <is>
          <t>Unfavourable (EUR/kg)</t>
        </is>
      </c>
      <c r="D1" s="1" t="inlineStr">
        <is>
          <t>Swing</t>
        </is>
      </c>
    </row>
    <row r="2">
      <c r="A2" s="2" t="inlineStr">
        <is>
          <t>Electricity price 42 / 82 EUR/MWh</t>
        </is>
      </c>
      <c r="B2" s="2" t="n">
        <v>8.640000000000001</v>
      </c>
      <c r="C2" s="2" t="n">
        <v>10.8</v>
      </c>
      <c r="D2" s="10">
        <f>C2-B2</f>
        <v/>
      </c>
    </row>
    <row r="3">
      <c r="A3" s="4" t="inlineStr">
        <is>
          <t>Full-load hours 6,500 / 4,000</t>
        </is>
      </c>
      <c r="B3" s="4" t="n">
        <v>8.44</v>
      </c>
      <c r="C3" s="4" t="n">
        <v>11.63</v>
      </c>
      <c r="D3" s="11">
        <f>C3-B3</f>
        <v/>
      </c>
    </row>
    <row r="4">
      <c r="A4" s="2" t="inlineStr">
        <is>
          <t>Capex −20 % / +20 %</t>
        </is>
      </c>
      <c r="B4" s="2" t="n">
        <v>8.65</v>
      </c>
      <c r="C4" s="2" t="n">
        <v>10.78</v>
      </c>
      <c r="D4" s="10">
        <f>C4-B4</f>
        <v/>
      </c>
    </row>
    <row r="5">
      <c r="A5" s="4" t="inlineStr">
        <is>
          <t>WACC 5 % / 9 %</t>
        </is>
      </c>
      <c r="B5" s="4" t="n">
        <v>9.09</v>
      </c>
      <c r="C5" s="4" t="n">
        <v>10.39</v>
      </c>
      <c r="D5" s="11">
        <f>C5-B5</f>
        <v/>
      </c>
    </row>
    <row r="6">
      <c r="A6" s="2" t="inlineStr">
        <is>
          <t>Specific consumption 51 / 58 kWh/kg</t>
        </is>
      </c>
      <c r="B6" s="2" t="n">
        <v>9.18</v>
      </c>
      <c r="C6" s="2" t="n">
        <v>10.44</v>
      </c>
      <c r="D6" s="10">
        <f>C6-B6</f>
        <v/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7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2" t="inlineStr">
        <is>
          <t>LCOH (EUR/kg, no grant) by electricity price and full-load hours</t>
        </is>
      </c>
    </row>
    <row r="3">
      <c r="A3" s="1" t="inlineStr">
        <is>
          <t>Electricity price (EUR/MWh) \ Full-load hours</t>
        </is>
      </c>
      <c r="B3" s="1" t="n">
        <v>3500</v>
      </c>
      <c r="C3" s="1" t="n">
        <v>4000</v>
      </c>
      <c r="D3" s="1" t="n">
        <v>4500</v>
      </c>
      <c r="E3" s="1" t="n">
        <v>5200</v>
      </c>
      <c r="F3" s="1" t="n">
        <v>6000</v>
      </c>
      <c r="G3" s="1" t="n">
        <v>6500</v>
      </c>
    </row>
    <row r="4">
      <c r="A4" s="2" t="n">
        <v>40</v>
      </c>
      <c r="B4" s="2" t="n">
        <v>11.62</v>
      </c>
      <c r="C4" s="2" t="n">
        <v>10.44</v>
      </c>
      <c r="D4" s="2" t="n">
        <v>9.52</v>
      </c>
      <c r="E4" s="2" t="n">
        <v>8.529999999999999</v>
      </c>
      <c r="F4" s="2" t="n">
        <v>7.68</v>
      </c>
      <c r="G4" s="2" t="n">
        <v>7.26</v>
      </c>
    </row>
    <row r="5">
      <c r="A5" s="4" t="n">
        <v>50</v>
      </c>
      <c r="B5" s="4" t="n">
        <v>12.16</v>
      </c>
      <c r="C5" s="4" t="n">
        <v>10.98</v>
      </c>
      <c r="D5" s="4" t="n">
        <v>10.06</v>
      </c>
      <c r="E5" s="4" t="n">
        <v>9.07</v>
      </c>
      <c r="F5" s="4" t="n">
        <v>8.220000000000001</v>
      </c>
      <c r="G5" s="4" t="n">
        <v>7.8</v>
      </c>
    </row>
    <row r="6">
      <c r="A6" s="2" t="n">
        <v>62</v>
      </c>
      <c r="B6" s="2" t="n">
        <v>12.81</v>
      </c>
      <c r="C6" s="2" t="n">
        <v>11.63</v>
      </c>
      <c r="D6" s="2" t="n">
        <v>10.71</v>
      </c>
      <c r="E6" s="2" t="n">
        <v>9.720000000000001</v>
      </c>
      <c r="F6" s="2" t="n">
        <v>8.869999999999999</v>
      </c>
      <c r="G6" s="2" t="n">
        <v>8.44</v>
      </c>
    </row>
    <row r="7">
      <c r="A7" s="4" t="n">
        <v>70</v>
      </c>
      <c r="B7" s="4" t="n">
        <v>13.24</v>
      </c>
      <c r="C7" s="4" t="n">
        <v>12.06</v>
      </c>
      <c r="D7" s="4" t="n">
        <v>11.14</v>
      </c>
      <c r="E7" s="4" t="n">
        <v>10.15</v>
      </c>
      <c r="F7" s="4" t="n">
        <v>9.300000000000001</v>
      </c>
      <c r="G7" s="4" t="n">
        <v>8.880000000000001</v>
      </c>
    </row>
    <row r="8">
      <c r="A8" s="2" t="n">
        <v>80</v>
      </c>
      <c r="B8" s="2" t="n">
        <v>13.78</v>
      </c>
      <c r="C8" s="2" t="n">
        <v>12.6</v>
      </c>
      <c r="D8" s="2" t="n">
        <v>11.68</v>
      </c>
      <c r="E8" s="2" t="n">
        <v>10.69</v>
      </c>
      <c r="F8" s="2" t="n">
        <v>9.84</v>
      </c>
      <c r="G8" s="2" t="n">
        <v>9.42</v>
      </c>
    </row>
    <row r="9">
      <c r="A9" s="4" t="n">
        <v>90</v>
      </c>
      <c r="B9" s="4" t="n">
        <v>14.32</v>
      </c>
      <c r="C9" s="4" t="n">
        <v>13.14</v>
      </c>
      <c r="D9" s="4" t="n">
        <v>12.22</v>
      </c>
      <c r="E9" s="4" t="n">
        <v>11.23</v>
      </c>
      <c r="F9" s="4" t="n">
        <v>10.38</v>
      </c>
      <c r="G9" s="4" t="n">
        <v>9.960000000000001</v>
      </c>
    </row>
  </sheetData>
  <autoFilter ref="A3:G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Lindqvist</dc:creator>
  <dcterms:created xmlns:dcterms="http://purl.org/dc/terms/" xmlns:xsi="http://www.w3.org/2001/XMLSchema-instance" xsi:type="dcterms:W3CDTF">2026-04-20T10:00:00Z</dcterms:created>
  <dcterms:modified xmlns:dcterms="http://purl.org/dc/terms/" xmlns:xsi="http://www.w3.org/2001/XMLSchema-instance" xsi:type="dcterms:W3CDTF">2026-10-04T19:30:31Z</dcterms:modified>
  <cp:lastModifiedBy>Sofie Lindqvist</cp:lastModifiedBy>
</cp:coreProperties>
</file>