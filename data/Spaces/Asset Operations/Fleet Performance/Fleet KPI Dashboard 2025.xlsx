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neration (GWh)" sheetId="2" state="visible" r:id="rId2"/>
    <sheet xmlns:r="http://schemas.openxmlformats.org/officeDocument/2006/relationships" name="Availability (%)" sheetId="3" state="visible" r:id="rId3"/>
    <sheet xmlns:r="http://schemas.openxmlformats.org/officeDocument/2006/relationships" name="Notable events" sheetId="4" state="visible" r:id="rId4"/>
  </sheets>
  <definedNames>
    <definedName name="_xlnm._FilterDatabase" localSheetId="0" hidden="1">'Summary'!$A$3:$C$7</definedName>
    <definedName name="_xlnm._FilterDatabase" localSheetId="1" hidden="1">'Generation (GWh)'!$A$1:$R$15</definedName>
    <definedName name="_xlnm._FilterDatabase" localSheetId="2" hidden="1">'Availability (%)'!$A$1:$N$14</definedName>
    <definedName name="_xlnm._FilterDatabase" localSheetId="3" hidden="1">'Notable events'!$A$1:$C$5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0" fontId="2" fillId="3" borderId="1" pivotButton="0" quotePrefix="0" xfId="0"/>
    <xf numFmtId="164" fontId="2" fillId="0" borderId="1" pivotButton="0" quotePrefix="0" xfId="0"/>
    <xf numFmtId="164" fontId="2" fillId="3" borderId="1" pivotButton="0" quotePrefix="0" xfId="0"/>
    <xf numFmtId="165" fontId="2" fillId="0" borderId="1" pivotButton="0" quotePrefix="0" xfId="0"/>
    <xf numFmtId="165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50" customWidth="1" min="3" max="3"/>
  </cols>
  <sheetData>
    <row r="1">
      <c r="A1" s="1" t="inlineStr">
        <is>
          <t>Fleet KPI Dashboard 2025</t>
        </is>
      </c>
    </row>
    <row r="3">
      <c r="A3" s="2" t="inlineStr">
        <is>
          <t>KPI</t>
        </is>
      </c>
      <c r="B3" s="2" t="inlineStr">
        <is>
          <t>Value</t>
        </is>
      </c>
      <c r="C3" s="2" t="inlineStr">
        <is>
          <t>Comment</t>
        </is>
      </c>
    </row>
    <row r="4">
      <c r="A4" s="3" t="inlineStr">
        <is>
          <t>Generation wind + solar YTD (GWh)</t>
        </is>
      </c>
      <c r="B4" s="3" t="n">
        <v>2337.5</v>
      </c>
      <c r="C4" s="3" t="inlineStr">
        <is>
          <t>Budget 2376.8 GWh (-1.7 %)</t>
        </is>
      </c>
    </row>
    <row r="5">
      <c r="A5" s="4" t="inlineStr">
        <is>
          <t>Average wind availability YTD</t>
        </is>
      </c>
      <c r="B5" s="4" t="inlineStr">
        <is>
          <t>96.7 %</t>
        </is>
      </c>
      <c r="C5" s="4" t="inlineStr">
        <is>
          <t>Target 97.0 %</t>
        </is>
      </c>
    </row>
    <row r="6">
      <c r="A6" s="3" t="inlineStr">
        <is>
          <t>Assets in operation</t>
        </is>
      </c>
      <c r="B6" s="3" t="n">
        <v>13</v>
      </c>
      <c r="C6" s="3" t="inlineStr">
        <is>
          <t>1,100 MW total</t>
        </is>
      </c>
    </row>
    <row r="7">
      <c r="A7" s="4" t="inlineStr">
        <is>
          <t>Lost time injuries (operations)</t>
        </is>
      </c>
      <c r="B7" s="4" t="n">
        <v>2</v>
      </c>
      <c r="C7" s="4" t="inlineStr">
        <is>
          <t>Dunmore Hill (Mar) and Uckermark Solar (Sep) – contractors</t>
        </is>
      </c>
    </row>
  </sheetData>
  <autoFilter ref="A3: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2" customWidth="1" min="17" max="17"/>
    <col width="11" customWidth="1" min="18" max="18"/>
  </cols>
  <sheetData>
    <row r="1">
      <c r="A1" s="2" t="inlineStr">
        <is>
          <t>Asset</t>
        </is>
      </c>
      <c r="B1" s="2" t="inlineStr">
        <is>
          <t>Technology</t>
        </is>
      </c>
      <c r="C1" s="2" t="inlineStr">
        <is>
          <t>MW</t>
        </is>
      </c>
      <c r="D1" s="2" t="inlineStr">
        <is>
          <t>Jan</t>
        </is>
      </c>
      <c r="E1" s="2" t="inlineStr">
        <is>
          <t>Feb</t>
        </is>
      </c>
      <c r="F1" s="2" t="inlineStr">
        <is>
          <t>Mar</t>
        </is>
      </c>
      <c r="G1" s="2" t="inlineStr">
        <is>
          <t>Apr</t>
        </is>
      </c>
      <c r="H1" s="2" t="inlineStr">
        <is>
          <t>May</t>
        </is>
      </c>
      <c r="I1" s="2" t="inlineStr">
        <is>
          <t>Jun</t>
        </is>
      </c>
      <c r="J1" s="2" t="inlineStr">
        <is>
          <t>Jul</t>
        </is>
      </c>
      <c r="K1" s="2" t="inlineStr">
        <is>
          <t>Aug</t>
        </is>
      </c>
      <c r="L1" s="2" t="inlineStr">
        <is>
          <t>Sep</t>
        </is>
      </c>
      <c r="M1" s="2" t="inlineStr">
        <is>
          <t>Oct</t>
        </is>
      </c>
      <c r="N1" s="2" t="inlineStr">
        <is>
          <t>Nov</t>
        </is>
      </c>
      <c r="O1" s="2" t="inlineStr">
        <is>
          <t>Dec</t>
        </is>
      </c>
      <c r="P1" s="2" t="inlineStr">
        <is>
          <t>YTD actual</t>
        </is>
      </c>
      <c r="Q1" s="2" t="inlineStr">
        <is>
          <t>YTD budget</t>
        </is>
      </c>
      <c r="R1" s="2" t="inlineStr">
        <is>
          <t>Variance %</t>
        </is>
      </c>
    </row>
    <row r="2">
      <c r="A2" s="3" t="inlineStr">
        <is>
          <t>Kestrel Ridge Wind Farm</t>
        </is>
      </c>
      <c r="B2" s="3" t="inlineStr">
        <is>
          <t>Onshore wind</t>
        </is>
      </c>
      <c r="C2" s="3" t="n">
        <v>75.59999999999999</v>
      </c>
      <c r="D2" s="3" t="n">
        <v>25.2</v>
      </c>
      <c r="E2" s="3" t="n">
        <v>18.7</v>
      </c>
      <c r="F2" s="3" t="n">
        <v>20.4</v>
      </c>
      <c r="G2" s="3" t="n">
        <v>16</v>
      </c>
      <c r="H2" s="3" t="n">
        <v>14.2</v>
      </c>
      <c r="I2" s="3" t="n">
        <v>10.2</v>
      </c>
      <c r="J2" s="3" t="n">
        <v>10.3</v>
      </c>
      <c r="K2" s="3" t="n">
        <v>12.3</v>
      </c>
      <c r="L2" s="3" t="n">
        <v>15.2</v>
      </c>
      <c r="M2" s="3" t="n">
        <v>17.9</v>
      </c>
      <c r="N2" s="3" t="n">
        <v>21.3</v>
      </c>
      <c r="O2" s="3" t="n">
        <v>24.9</v>
      </c>
      <c r="P2" s="3">
        <f>SUM(D2:O2)</f>
        <v/>
      </c>
      <c r="Q2" s="3" t="n">
        <v>213.6</v>
      </c>
      <c r="R2" s="5">
        <f>P2/Q2-1</f>
        <v/>
      </c>
    </row>
    <row r="3">
      <c r="A3" s="4" t="inlineStr">
        <is>
          <t>Skerrow Moor Wind Farm</t>
        </is>
      </c>
      <c r="B3" s="4" t="inlineStr">
        <is>
          <t>Onshore wind</t>
        </is>
      </c>
      <c r="C3" s="4" t="n">
        <v>96</v>
      </c>
      <c r="D3" s="4" t="n">
        <v>29.4</v>
      </c>
      <c r="E3" s="4" t="n">
        <v>22.1</v>
      </c>
      <c r="F3" s="4" t="n">
        <v>23.6</v>
      </c>
      <c r="G3" s="4" t="n">
        <v>18.5</v>
      </c>
      <c r="H3" s="4" t="n">
        <v>17.2</v>
      </c>
      <c r="I3" s="4" t="n">
        <v>12.1</v>
      </c>
      <c r="J3" s="4" t="n">
        <v>12.3</v>
      </c>
      <c r="K3" s="4" t="n">
        <v>14.7</v>
      </c>
      <c r="L3" s="4" t="n">
        <v>18.1</v>
      </c>
      <c r="M3" s="4" t="n">
        <v>20.9</v>
      </c>
      <c r="N3" s="4" t="n">
        <v>24</v>
      </c>
      <c r="O3" s="4" t="n">
        <v>29.2</v>
      </c>
      <c r="P3" s="4">
        <f>SUM(D3:O3)</f>
        <v/>
      </c>
      <c r="Q3" s="4" t="n">
        <v>248</v>
      </c>
      <c r="R3" s="6">
        <f>P3/Q3-1</f>
        <v/>
      </c>
    </row>
    <row r="4">
      <c r="A4" s="3" t="inlineStr">
        <is>
          <t>Dunmore Hill Wind Farm</t>
        </is>
      </c>
      <c r="B4" s="3" t="inlineStr">
        <is>
          <t>Onshore wind</t>
        </is>
      </c>
      <c r="C4" s="3" t="n">
        <v>61.5</v>
      </c>
      <c r="D4" s="3" t="n">
        <v>18.7</v>
      </c>
      <c r="E4" s="3" t="n">
        <v>13.7</v>
      </c>
      <c r="F4" s="3" t="n">
        <v>14.6</v>
      </c>
      <c r="G4" s="3" t="n">
        <v>11.4</v>
      </c>
      <c r="H4" s="3" t="n">
        <v>10</v>
      </c>
      <c r="I4" s="3" t="n">
        <v>7.2</v>
      </c>
      <c r="J4" s="3" t="n">
        <v>7.5</v>
      </c>
      <c r="K4" s="3" t="n">
        <v>8.9</v>
      </c>
      <c r="L4" s="3" t="n">
        <v>10.9</v>
      </c>
      <c r="M4" s="3" t="n">
        <v>13.1</v>
      </c>
      <c r="N4" s="3" t="n">
        <v>16</v>
      </c>
      <c r="O4" s="3" t="n">
        <v>18.1</v>
      </c>
      <c r="P4" s="3">
        <f>SUM(D4:O4)</f>
        <v/>
      </c>
      <c r="Q4" s="3" t="n">
        <v>153.8</v>
      </c>
      <c r="R4" s="5">
        <f>P4/Q4-1</f>
        <v/>
      </c>
    </row>
    <row r="5">
      <c r="A5" s="4" t="inlineStr">
        <is>
          <t>Glenquey Wind Farm</t>
        </is>
      </c>
      <c r="B5" s="4" t="inlineStr">
        <is>
          <t>Onshore wind</t>
        </is>
      </c>
      <c r="C5" s="4" t="n">
        <v>52.5</v>
      </c>
      <c r="D5" s="4" t="n">
        <v>17.9</v>
      </c>
      <c r="E5" s="4" t="n">
        <v>12.7</v>
      </c>
      <c r="F5" s="4" t="n">
        <v>13.7</v>
      </c>
      <c r="G5" s="4" t="n">
        <v>10.7</v>
      </c>
      <c r="H5" s="4" t="n">
        <v>9.5</v>
      </c>
      <c r="I5" s="4" t="n">
        <v>6.8</v>
      </c>
      <c r="J5" s="4" t="n">
        <v>6.9</v>
      </c>
      <c r="K5" s="4" t="n">
        <v>8.6</v>
      </c>
      <c r="L5" s="4" t="n">
        <v>10.6</v>
      </c>
      <c r="M5" s="4" t="n">
        <v>11.8</v>
      </c>
      <c r="N5" s="4" t="n">
        <v>14.6</v>
      </c>
      <c r="O5" s="4" t="n">
        <v>16.6</v>
      </c>
      <c r="P5" s="4">
        <f>SUM(D5:O5)</f>
        <v/>
      </c>
      <c r="Q5" s="4" t="n">
        <v>142.8</v>
      </c>
      <c r="R5" s="6">
        <f>P5/Q5-1</f>
        <v/>
      </c>
    </row>
    <row r="6">
      <c r="A6" s="3" t="inlineStr">
        <is>
          <t>Nordheide Windpark</t>
        </is>
      </c>
      <c r="B6" s="3" t="inlineStr">
        <is>
          <t>Onshore wind</t>
        </is>
      </c>
      <c r="C6" s="3" t="n">
        <v>118.8</v>
      </c>
      <c r="D6" s="3" t="n">
        <v>29.5</v>
      </c>
      <c r="E6" s="3" t="n">
        <v>22.8</v>
      </c>
      <c r="F6" s="3" t="n">
        <v>27.1</v>
      </c>
      <c r="G6" s="3" t="n">
        <v>17.3</v>
      </c>
      <c r="H6" s="3" t="n">
        <v>16.2</v>
      </c>
      <c r="I6" s="3" t="n">
        <v>13.1</v>
      </c>
      <c r="J6" s="3" t="n">
        <v>12.2</v>
      </c>
      <c r="K6" s="3" t="n">
        <v>13.6</v>
      </c>
      <c r="L6" s="3" t="n">
        <v>16.6</v>
      </c>
      <c r="M6" s="3" t="n">
        <v>22.5</v>
      </c>
      <c r="N6" s="3" t="n">
        <v>22.4</v>
      </c>
      <c r="O6" s="3" t="n">
        <v>26</v>
      </c>
      <c r="P6" s="3">
        <f>SUM(D6:O6)</f>
        <v/>
      </c>
      <c r="Q6" s="3" t="n">
        <v>244.3</v>
      </c>
      <c r="R6" s="5">
        <f>P6/Q6-1</f>
        <v/>
      </c>
    </row>
    <row r="7">
      <c r="A7" s="4" t="inlineStr">
        <is>
          <t>Wesermarsch Windpark</t>
        </is>
      </c>
      <c r="B7" s="4" t="inlineStr">
        <is>
          <t>Onshore wind</t>
        </is>
      </c>
      <c r="C7" s="4" t="n">
        <v>84</v>
      </c>
      <c r="D7" s="4" t="n">
        <v>19.5</v>
      </c>
      <c r="E7" s="4" t="n">
        <v>19.2</v>
      </c>
      <c r="F7" s="4" t="n">
        <v>21.1</v>
      </c>
      <c r="G7" s="4" t="n">
        <v>14.5</v>
      </c>
      <c r="H7" s="4" t="n">
        <v>12.7</v>
      </c>
      <c r="I7" s="4" t="n">
        <v>9.6</v>
      </c>
      <c r="J7" s="4" t="n">
        <v>9.699999999999999</v>
      </c>
      <c r="K7" s="4" t="n">
        <v>10.6</v>
      </c>
      <c r="L7" s="4" t="n">
        <v>11.3</v>
      </c>
      <c r="M7" s="4" t="n">
        <v>14.8</v>
      </c>
      <c r="N7" s="4" t="n">
        <v>17.9</v>
      </c>
      <c r="O7" s="4" t="n">
        <v>19</v>
      </c>
      <c r="P7" s="4">
        <f>SUM(D7:O7)</f>
        <v/>
      </c>
      <c r="Q7" s="4" t="n">
        <v>186.7</v>
      </c>
      <c r="R7" s="6">
        <f>P7/Q7-1</f>
        <v/>
      </c>
    </row>
    <row r="8">
      <c r="A8" s="3" t="inlineStr">
        <is>
          <t>Ostholstein Windpark</t>
        </is>
      </c>
      <c r="B8" s="3" t="inlineStr">
        <is>
          <t>Onshore wind</t>
        </is>
      </c>
      <c r="C8" s="3" t="n">
        <v>72</v>
      </c>
      <c r="D8" s="3" t="n">
        <v>18.3</v>
      </c>
      <c r="E8" s="3" t="n">
        <v>18.8</v>
      </c>
      <c r="F8" s="3" t="n">
        <v>16.7</v>
      </c>
      <c r="G8" s="3" t="n">
        <v>12.7</v>
      </c>
      <c r="H8" s="3" t="n">
        <v>10.9</v>
      </c>
      <c r="I8" s="3" t="n">
        <v>8.1</v>
      </c>
      <c r="J8" s="3" t="n">
        <v>8</v>
      </c>
      <c r="K8" s="3" t="n">
        <v>11.2</v>
      </c>
      <c r="L8" s="3" t="n">
        <v>11.2</v>
      </c>
      <c r="M8" s="3" t="n">
        <v>15.3</v>
      </c>
      <c r="N8" s="3" t="n">
        <v>15.9</v>
      </c>
      <c r="O8" s="3" t="n">
        <v>17.9</v>
      </c>
      <c r="P8" s="3">
        <f>SUM(D8:O8)</f>
        <v/>
      </c>
      <c r="Q8" s="3" t="n">
        <v>172</v>
      </c>
      <c r="R8" s="5">
        <f>P8/Q8-1</f>
        <v/>
      </c>
    </row>
    <row r="9">
      <c r="A9" s="4" t="inlineStr">
        <is>
          <t>Emsland Windpark</t>
        </is>
      </c>
      <c r="B9" s="4" t="inlineStr">
        <is>
          <t>Onshore wind</t>
        </is>
      </c>
      <c r="C9" s="4" t="n">
        <v>105.6</v>
      </c>
      <c r="D9" s="4" t="n">
        <v>27.4</v>
      </c>
      <c r="E9" s="4" t="n">
        <v>23.3</v>
      </c>
      <c r="F9" s="4" t="n">
        <v>21.7</v>
      </c>
      <c r="G9" s="4" t="n">
        <v>14.9</v>
      </c>
      <c r="H9" s="4" t="n">
        <v>15</v>
      </c>
      <c r="I9" s="4" t="n">
        <v>10.3</v>
      </c>
      <c r="J9" s="4" t="n">
        <v>12.2</v>
      </c>
      <c r="K9" s="4" t="n">
        <v>14.1</v>
      </c>
      <c r="L9" s="4" t="n">
        <v>16.5</v>
      </c>
      <c r="M9" s="4" t="n">
        <v>18.8</v>
      </c>
      <c r="N9" s="4" t="n">
        <v>20.4</v>
      </c>
      <c r="O9" s="4" t="n">
        <v>23.2</v>
      </c>
      <c r="P9" s="4">
        <f>SUM(D9:O9)</f>
        <v/>
      </c>
      <c r="Q9" s="4" t="n">
        <v>222.8</v>
      </c>
      <c r="R9" s="6">
        <f>P9/Q9-1</f>
        <v/>
      </c>
    </row>
    <row r="10">
      <c r="A10" s="3" t="inlineStr">
        <is>
          <t>Altmark Windpark</t>
        </is>
      </c>
      <c r="B10" s="3" t="inlineStr">
        <is>
          <t>Onshore wind</t>
        </is>
      </c>
      <c r="C10" s="3" t="n">
        <v>139.6</v>
      </c>
      <c r="D10" s="3" t="n">
        <v>34.2</v>
      </c>
      <c r="E10" s="3" t="n">
        <v>27.3</v>
      </c>
      <c r="F10" s="3" t="n">
        <v>29</v>
      </c>
      <c r="G10" s="3" t="n">
        <v>22</v>
      </c>
      <c r="H10" s="3" t="n">
        <v>17.6</v>
      </c>
      <c r="I10" s="3" t="n">
        <v>15.3</v>
      </c>
      <c r="J10" s="3" t="n">
        <v>13.5</v>
      </c>
      <c r="K10" s="3" t="n">
        <v>15.9</v>
      </c>
      <c r="L10" s="3" t="n">
        <v>19.6</v>
      </c>
      <c r="M10" s="3" t="n">
        <v>25.3</v>
      </c>
      <c r="N10" s="3" t="n">
        <v>31.1</v>
      </c>
      <c r="O10" s="3" t="n">
        <v>33</v>
      </c>
      <c r="P10" s="3">
        <f>SUM(D10:O10)</f>
        <v/>
      </c>
      <c r="Q10" s="3" t="n">
        <v>271.4</v>
      </c>
      <c r="R10" s="5">
        <f>P10/Q10-1</f>
        <v/>
      </c>
    </row>
    <row r="11">
      <c r="A11" s="4" t="inlineStr">
        <is>
          <t>Thy Vest Vindpark</t>
        </is>
      </c>
      <c r="B11" s="4" t="inlineStr">
        <is>
          <t>Onshore wind</t>
        </is>
      </c>
      <c r="C11" s="4" t="n">
        <v>110.4</v>
      </c>
      <c r="D11" s="4" t="n">
        <v>35.3</v>
      </c>
      <c r="E11" s="4" t="n">
        <v>32.7</v>
      </c>
      <c r="F11" s="4" t="n">
        <v>32</v>
      </c>
      <c r="G11" s="4" t="n">
        <v>21.3</v>
      </c>
      <c r="H11" s="4" t="n">
        <v>18</v>
      </c>
      <c r="I11" s="4" t="n">
        <v>14.9</v>
      </c>
      <c r="J11" s="4" t="n">
        <v>13.4</v>
      </c>
      <c r="K11" s="4" t="n">
        <v>17.4</v>
      </c>
      <c r="L11" s="4" t="n">
        <v>19.2</v>
      </c>
      <c r="M11" s="4" t="n">
        <v>28.1</v>
      </c>
      <c r="N11" s="4" t="n">
        <v>32.5</v>
      </c>
      <c r="O11" s="4" t="n">
        <v>29.8</v>
      </c>
      <c r="P11" s="4">
        <f>SUM(D11:O11)</f>
        <v/>
      </c>
      <c r="Q11" s="4" t="n">
        <v>297.4</v>
      </c>
      <c r="R11" s="6">
        <f>P11/Q11-1</f>
        <v/>
      </c>
    </row>
    <row r="12">
      <c r="A12" s="3" t="inlineStr">
        <is>
          <t>Ringkøbing Vindpark</t>
        </is>
      </c>
      <c r="B12" s="3" t="inlineStr">
        <is>
          <t>Onshore wind</t>
        </is>
      </c>
      <c r="C12" s="3" t="n">
        <v>34.6</v>
      </c>
      <c r="D12" s="3" t="n">
        <v>10.6</v>
      </c>
      <c r="E12" s="3" t="n">
        <v>9.1</v>
      </c>
      <c r="F12" s="3" t="n">
        <v>8</v>
      </c>
      <c r="G12" s="3" t="n">
        <v>6.3</v>
      </c>
      <c r="H12" s="3" t="n">
        <v>6.4</v>
      </c>
      <c r="I12" s="3" t="n">
        <v>4.6</v>
      </c>
      <c r="J12" s="3" t="n">
        <v>4.2</v>
      </c>
      <c r="K12" s="3" t="n">
        <v>4.4</v>
      </c>
      <c r="L12" s="3" t="n">
        <v>6.1</v>
      </c>
      <c r="M12" s="3" t="n">
        <v>7.7</v>
      </c>
      <c r="N12" s="3" t="n">
        <v>9.5</v>
      </c>
      <c r="O12" s="3" t="n">
        <v>9.4</v>
      </c>
      <c r="P12" s="3">
        <f>SUM(D12:O12)</f>
        <v/>
      </c>
      <c r="Q12" s="3" t="n">
        <v>88.40000000000001</v>
      </c>
      <c r="R12" s="5">
        <f>P12/Q12-1</f>
        <v/>
      </c>
    </row>
    <row r="13">
      <c r="A13" s="4" t="inlineStr">
        <is>
          <t>Uckermark Solarpark</t>
        </is>
      </c>
      <c r="B13" s="4" t="inlineStr">
        <is>
          <t>Solar PV</t>
        </is>
      </c>
      <c r="C13" s="4" t="n">
        <v>92</v>
      </c>
      <c r="D13" s="4" t="n">
        <v>2.2</v>
      </c>
      <c r="E13" s="4" t="n">
        <v>3.7</v>
      </c>
      <c r="F13" s="4" t="n">
        <v>6.5</v>
      </c>
      <c r="G13" s="4" t="n">
        <v>9.5</v>
      </c>
      <c r="H13" s="4" t="n">
        <v>10.7</v>
      </c>
      <c r="I13" s="4" t="n">
        <v>11.9</v>
      </c>
      <c r="J13" s="4" t="n">
        <v>10.9</v>
      </c>
      <c r="K13" s="4" t="n">
        <v>9.800000000000001</v>
      </c>
      <c r="L13" s="4" t="n">
        <v>7.2</v>
      </c>
      <c r="M13" s="4" t="n">
        <v>5</v>
      </c>
      <c r="N13" s="4" t="n">
        <v>2.6</v>
      </c>
      <c r="O13" s="4" t="n">
        <v>1.3</v>
      </c>
      <c r="P13" s="4">
        <f>SUM(D13:O13)</f>
        <v/>
      </c>
      <c r="Q13" s="4" t="n">
        <v>83.5</v>
      </c>
      <c r="R13" s="6">
        <f>P13/Q13-1</f>
        <v/>
      </c>
    </row>
    <row r="14">
      <c r="A14" s="3" t="inlineStr">
        <is>
          <t>Lüneburger Heide Solarpark</t>
        </is>
      </c>
      <c r="B14" s="3" t="inlineStr">
        <is>
          <t>Solar PV</t>
        </is>
      </c>
      <c r="C14" s="3" t="n">
        <v>57.4</v>
      </c>
      <c r="D14" s="3" t="n">
        <v>1.3</v>
      </c>
      <c r="E14" s="3" t="n">
        <v>2.1</v>
      </c>
      <c r="F14" s="3" t="n">
        <v>4</v>
      </c>
      <c r="G14" s="3" t="n">
        <v>6</v>
      </c>
      <c r="H14" s="3" t="n">
        <v>6.7</v>
      </c>
      <c r="I14" s="3" t="n">
        <v>7.5</v>
      </c>
      <c r="J14" s="3" t="n">
        <v>7</v>
      </c>
      <c r="K14" s="3" t="n">
        <v>6.1</v>
      </c>
      <c r="L14" s="3" t="n">
        <v>4.7</v>
      </c>
      <c r="M14" s="3" t="n">
        <v>2.7</v>
      </c>
      <c r="N14" s="3" t="n">
        <v>1.3</v>
      </c>
      <c r="O14" s="3" t="n">
        <v>0.9</v>
      </c>
      <c r="P14" s="3">
        <f>SUM(D14:O14)</f>
        <v/>
      </c>
      <c r="Q14" s="3" t="n">
        <v>52.1</v>
      </c>
      <c r="R14" s="5">
        <f>P14/Q14-1</f>
        <v/>
      </c>
    </row>
    <row r="15">
      <c r="A15" s="4" t="inlineStr">
        <is>
          <t>Fleet total</t>
        </is>
      </c>
      <c r="B15" s="4" t="inlineStr"/>
      <c r="C15" s="4">
        <f>SUM(C2:C14)</f>
        <v/>
      </c>
      <c r="D15" s="4">
        <f>SUM(D2:D14)</f>
        <v/>
      </c>
      <c r="E15" s="4">
        <f>SUM(E2:E14)</f>
        <v/>
      </c>
      <c r="F15" s="4">
        <f>SUM(F2:F14)</f>
        <v/>
      </c>
      <c r="G15" s="4">
        <f>SUM(G2:G14)</f>
        <v/>
      </c>
      <c r="H15" s="4">
        <f>SUM(H2:H14)</f>
        <v/>
      </c>
      <c r="I15" s="4">
        <f>SUM(I2:I14)</f>
        <v/>
      </c>
      <c r="J15" s="4">
        <f>SUM(J2:J14)</f>
        <v/>
      </c>
      <c r="K15" s="4">
        <f>SUM(K2:K14)</f>
        <v/>
      </c>
      <c r="L15" s="4">
        <f>SUM(L2:L14)</f>
        <v/>
      </c>
      <c r="M15" s="4">
        <f>SUM(M2:M14)</f>
        <v/>
      </c>
      <c r="N15" s="4">
        <f>SUM(N2:N14)</f>
        <v/>
      </c>
      <c r="O15" s="4">
        <f>SUM(O2:O14)</f>
        <v/>
      </c>
      <c r="P15" s="4">
        <f>SUM(P2:P14)</f>
        <v/>
      </c>
      <c r="Q15" s="4">
        <f>SUM(Q2:Q14)</f>
        <v/>
      </c>
      <c r="R15" s="6" t="inlineStr"/>
    </row>
  </sheetData>
  <autoFilter ref="A1:R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2" t="inlineStr">
        <is>
          <t>Asset</t>
        </is>
      </c>
      <c r="B1" s="2" t="inlineStr">
        <is>
          <t>Jan</t>
        </is>
      </c>
      <c r="C1" s="2" t="inlineStr">
        <is>
          <t>Feb</t>
        </is>
      </c>
      <c r="D1" s="2" t="inlineStr">
        <is>
          <t>Mar</t>
        </is>
      </c>
      <c r="E1" s="2" t="inlineStr">
        <is>
          <t>Apr</t>
        </is>
      </c>
      <c r="F1" s="2" t="inlineStr">
        <is>
          <t>May</t>
        </is>
      </c>
      <c r="G1" s="2" t="inlineStr">
        <is>
          <t>Jun</t>
        </is>
      </c>
      <c r="H1" s="2" t="inlineStr">
        <is>
          <t>Jul</t>
        </is>
      </c>
      <c r="I1" s="2" t="inlineStr">
        <is>
          <t>Aug</t>
        </is>
      </c>
      <c r="J1" s="2" t="inlineStr">
        <is>
          <t>Sep</t>
        </is>
      </c>
      <c r="K1" s="2" t="inlineStr">
        <is>
          <t>Oct</t>
        </is>
      </c>
      <c r="L1" s="2" t="inlineStr">
        <is>
          <t>Nov</t>
        </is>
      </c>
      <c r="M1" s="2" t="inlineStr">
        <is>
          <t>Dec</t>
        </is>
      </c>
      <c r="N1" s="2" t="inlineStr">
        <is>
          <t>YTD</t>
        </is>
      </c>
    </row>
    <row r="2">
      <c r="A2" s="3" t="inlineStr">
        <is>
          <t>Kestrel Ridge Wind Farm</t>
        </is>
      </c>
      <c r="B2" s="3" t="n">
        <v>96.8</v>
      </c>
      <c r="C2" s="3" t="n">
        <v>97.09999999999999</v>
      </c>
      <c r="D2" s="3" t="n">
        <v>97.59999999999999</v>
      </c>
      <c r="E2" s="3" t="n">
        <v>97.90000000000001</v>
      </c>
      <c r="F2" s="3" t="n">
        <v>97.2</v>
      </c>
      <c r="G2" s="3" t="n">
        <v>96.90000000000001</v>
      </c>
      <c r="H2" s="3" t="n">
        <v>97.3</v>
      </c>
      <c r="I2" s="3" t="n">
        <v>97.59999999999999</v>
      </c>
      <c r="J2" s="3" t="n">
        <v>97.8</v>
      </c>
      <c r="K2" s="3" t="n">
        <v>97.5</v>
      </c>
      <c r="L2" s="3" t="n">
        <v>97.59999999999999</v>
      </c>
      <c r="M2" s="3" t="n">
        <v>97.5</v>
      </c>
      <c r="N2" s="7">
        <f>AVERAGE(B2:M2)</f>
        <v/>
      </c>
    </row>
    <row r="3">
      <c r="A3" s="4" t="inlineStr">
        <is>
          <t>Skerrow Moor Wind Farm</t>
        </is>
      </c>
      <c r="B3" s="4" t="n">
        <v>98.3</v>
      </c>
      <c r="C3" s="4" t="n">
        <v>98.09999999999999</v>
      </c>
      <c r="D3" s="4" t="n">
        <v>96.5</v>
      </c>
      <c r="E3" s="4" t="n">
        <v>97.59999999999999</v>
      </c>
      <c r="F3" s="4" t="n">
        <v>97.2</v>
      </c>
      <c r="G3" s="4" t="n">
        <v>95.90000000000001</v>
      </c>
      <c r="H3" s="4" t="n">
        <v>96</v>
      </c>
      <c r="I3" s="4" t="n">
        <v>96.40000000000001</v>
      </c>
      <c r="J3" s="4" t="n">
        <v>97.8</v>
      </c>
      <c r="K3" s="4" t="n">
        <v>97.5</v>
      </c>
      <c r="L3" s="4" t="n">
        <v>95.7</v>
      </c>
      <c r="M3" s="4" t="n">
        <v>97.7</v>
      </c>
      <c r="N3" s="8">
        <f>AVERAGE(B3:M3)</f>
        <v/>
      </c>
    </row>
    <row r="4">
      <c r="A4" s="3" t="inlineStr">
        <is>
          <t>Dunmore Hill Wind Farm</t>
        </is>
      </c>
      <c r="B4" s="3" t="n">
        <v>96.2</v>
      </c>
      <c r="C4" s="3" t="n">
        <v>94.5</v>
      </c>
      <c r="D4" s="3" t="n">
        <v>95.8</v>
      </c>
      <c r="E4" s="3" t="n">
        <v>95.3</v>
      </c>
      <c r="F4" s="3" t="n">
        <v>94.7</v>
      </c>
      <c r="G4" s="3" t="n">
        <v>95</v>
      </c>
      <c r="H4" s="3" t="n">
        <v>95.3</v>
      </c>
      <c r="I4" s="3" t="n">
        <v>96.09999999999999</v>
      </c>
      <c r="J4" s="3" t="n">
        <v>95.40000000000001</v>
      </c>
      <c r="K4" s="3" t="n">
        <v>96.3</v>
      </c>
      <c r="L4" s="3" t="n">
        <v>96.90000000000001</v>
      </c>
      <c r="M4" s="3" t="n">
        <v>96.09999999999999</v>
      </c>
      <c r="N4" s="7">
        <f>AVERAGE(B4:M4)</f>
        <v/>
      </c>
    </row>
    <row r="5">
      <c r="A5" s="4" t="inlineStr">
        <is>
          <t>Glenquey Wind Farm</t>
        </is>
      </c>
      <c r="B5" s="4" t="n">
        <v>98.40000000000001</v>
      </c>
      <c r="C5" s="4" t="n">
        <v>97.7</v>
      </c>
      <c r="D5" s="4" t="n">
        <v>95.59999999999999</v>
      </c>
      <c r="E5" s="4" t="n">
        <v>95.7</v>
      </c>
      <c r="F5" s="4" t="n">
        <v>96.40000000000001</v>
      </c>
      <c r="G5" s="4" t="n">
        <v>97.5</v>
      </c>
      <c r="H5" s="4" t="n">
        <v>97.3</v>
      </c>
      <c r="I5" s="4" t="n">
        <v>98.09999999999999</v>
      </c>
      <c r="J5" s="4" t="n">
        <v>97.40000000000001</v>
      </c>
      <c r="K5" s="4" t="n">
        <v>97.59999999999999</v>
      </c>
      <c r="L5" s="4" t="n">
        <v>97.3</v>
      </c>
      <c r="M5" s="4" t="n">
        <v>96.90000000000001</v>
      </c>
      <c r="N5" s="8">
        <f>AVERAGE(B5:M5)</f>
        <v/>
      </c>
    </row>
    <row r="6">
      <c r="A6" s="3" t="inlineStr">
        <is>
          <t>Nordheide Windpark</t>
        </is>
      </c>
      <c r="B6" s="3" t="n">
        <v>97.90000000000001</v>
      </c>
      <c r="C6" s="3" t="n">
        <v>98.3</v>
      </c>
      <c r="D6" s="3" t="n">
        <v>98.09999999999999</v>
      </c>
      <c r="E6" s="3" t="n">
        <v>97.5</v>
      </c>
      <c r="F6" s="3" t="n">
        <v>97.3</v>
      </c>
      <c r="G6" s="3" t="n">
        <v>95.7</v>
      </c>
      <c r="H6" s="3" t="n">
        <v>97.59999999999999</v>
      </c>
      <c r="I6" s="3" t="n">
        <v>95.7</v>
      </c>
      <c r="J6" s="3" t="n">
        <v>98.3</v>
      </c>
      <c r="K6" s="3" t="n">
        <v>97.7</v>
      </c>
      <c r="L6" s="3" t="n">
        <v>96.5</v>
      </c>
      <c r="M6" s="3" t="n">
        <v>97.59999999999999</v>
      </c>
      <c r="N6" s="7">
        <f>AVERAGE(B6:M6)</f>
        <v/>
      </c>
    </row>
    <row r="7">
      <c r="A7" s="4" t="inlineStr">
        <is>
          <t>Wesermarsch Windpark</t>
        </is>
      </c>
      <c r="B7" s="4" t="n">
        <v>95.40000000000001</v>
      </c>
      <c r="C7" s="4" t="n">
        <v>94.3</v>
      </c>
      <c r="D7" s="4" t="n">
        <v>96.7</v>
      </c>
      <c r="E7" s="4" t="n">
        <v>96.3</v>
      </c>
      <c r="F7" s="4" t="n">
        <v>95.59999999999999</v>
      </c>
      <c r="G7" s="4" t="n">
        <v>96.2</v>
      </c>
      <c r="H7" s="4" t="n">
        <v>95.40000000000001</v>
      </c>
      <c r="I7" s="4" t="n">
        <v>96.5</v>
      </c>
      <c r="J7" s="4" t="n">
        <v>95.2</v>
      </c>
      <c r="K7" s="4" t="n">
        <v>94.8</v>
      </c>
      <c r="L7" s="4" t="n">
        <v>95.3</v>
      </c>
      <c r="M7" s="4" t="n">
        <v>96.2</v>
      </c>
      <c r="N7" s="8">
        <f>AVERAGE(B7:M7)</f>
        <v/>
      </c>
    </row>
    <row r="8">
      <c r="A8" s="3" t="inlineStr">
        <is>
          <t>Ostholstein Windpark</t>
        </is>
      </c>
      <c r="B8" s="3" t="n">
        <v>96</v>
      </c>
      <c r="C8" s="3" t="n">
        <v>98.40000000000001</v>
      </c>
      <c r="D8" s="3" t="n">
        <v>96.2</v>
      </c>
      <c r="E8" s="3" t="n">
        <v>96.3</v>
      </c>
      <c r="F8" s="3" t="n">
        <v>98.3</v>
      </c>
      <c r="G8" s="3" t="n">
        <v>95.90000000000001</v>
      </c>
      <c r="H8" s="3" t="n">
        <v>96.2</v>
      </c>
      <c r="I8" s="3" t="n">
        <v>97</v>
      </c>
      <c r="J8" s="3" t="n">
        <v>96.5</v>
      </c>
      <c r="K8" s="3" t="n">
        <v>98.3</v>
      </c>
      <c r="L8" s="3" t="n">
        <v>96.59999999999999</v>
      </c>
      <c r="M8" s="3" t="n">
        <v>95.8</v>
      </c>
      <c r="N8" s="7">
        <f>AVERAGE(B8:M8)</f>
        <v/>
      </c>
    </row>
    <row r="9">
      <c r="A9" s="4" t="inlineStr">
        <is>
          <t>Emsland Windpark</t>
        </is>
      </c>
      <c r="B9" s="4" t="n">
        <v>97.3</v>
      </c>
      <c r="C9" s="4" t="n">
        <v>96</v>
      </c>
      <c r="D9" s="4" t="n">
        <v>95.90000000000001</v>
      </c>
      <c r="E9" s="4" t="n">
        <v>96.3</v>
      </c>
      <c r="F9" s="4" t="n">
        <v>96.2</v>
      </c>
      <c r="G9" s="4" t="n">
        <v>98</v>
      </c>
      <c r="H9" s="4" t="n">
        <v>97.8</v>
      </c>
      <c r="I9" s="4" t="n">
        <v>98.2</v>
      </c>
      <c r="J9" s="4" t="n">
        <v>97.40000000000001</v>
      </c>
      <c r="K9" s="4" t="n">
        <v>98.09999999999999</v>
      </c>
      <c r="L9" s="4" t="n">
        <v>96.2</v>
      </c>
      <c r="M9" s="4" t="n">
        <v>98</v>
      </c>
      <c r="N9" s="8">
        <f>AVERAGE(B9:M9)</f>
        <v/>
      </c>
    </row>
    <row r="10">
      <c r="A10" s="3" t="inlineStr">
        <is>
          <t>Altmark Windpark</t>
        </is>
      </c>
      <c r="B10" s="3" t="n">
        <v>97.59999999999999</v>
      </c>
      <c r="C10" s="3" t="n">
        <v>96</v>
      </c>
      <c r="D10" s="3" t="n">
        <v>97.8</v>
      </c>
      <c r="E10" s="3" t="n">
        <v>98.3</v>
      </c>
      <c r="F10" s="3" t="n">
        <v>97</v>
      </c>
      <c r="G10" s="3" t="n">
        <v>97.5</v>
      </c>
      <c r="H10" s="3" t="n">
        <v>96.90000000000001</v>
      </c>
      <c r="I10" s="3" t="n">
        <v>97.59999999999999</v>
      </c>
      <c r="J10" s="3" t="n">
        <v>96.8</v>
      </c>
      <c r="K10" s="3" t="n">
        <v>96.90000000000001</v>
      </c>
      <c r="L10" s="3" t="n">
        <v>97.90000000000001</v>
      </c>
      <c r="M10" s="3" t="n">
        <v>97.09999999999999</v>
      </c>
      <c r="N10" s="7">
        <f>AVERAGE(B10:M10)</f>
        <v/>
      </c>
    </row>
    <row r="11">
      <c r="A11" s="4" t="inlineStr">
        <is>
          <t>Thy Vest Vindpark</t>
        </is>
      </c>
      <c r="B11" s="4" t="n">
        <v>95.90000000000001</v>
      </c>
      <c r="C11" s="4" t="n">
        <v>96.40000000000001</v>
      </c>
      <c r="D11" s="4" t="n">
        <v>95.90000000000001</v>
      </c>
      <c r="E11" s="4" t="n">
        <v>97</v>
      </c>
      <c r="F11" s="4" t="n">
        <v>96.59999999999999</v>
      </c>
      <c r="G11" s="4" t="n">
        <v>97</v>
      </c>
      <c r="H11" s="4" t="n">
        <v>97.09999999999999</v>
      </c>
      <c r="I11" s="4" t="n">
        <v>96.3</v>
      </c>
      <c r="J11" s="4" t="n">
        <v>98</v>
      </c>
      <c r="K11" s="4" t="n">
        <v>96</v>
      </c>
      <c r="L11" s="4" t="n">
        <v>96.40000000000001</v>
      </c>
      <c r="M11" s="4" t="n">
        <v>97.2</v>
      </c>
      <c r="N11" s="8">
        <f>AVERAGE(B11:M11)</f>
        <v/>
      </c>
    </row>
    <row r="12">
      <c r="A12" s="3" t="inlineStr">
        <is>
          <t>Ringkøbing Vindpark</t>
        </is>
      </c>
      <c r="B12" s="3" t="n">
        <v>96.5</v>
      </c>
      <c r="C12" s="3" t="n">
        <v>94.90000000000001</v>
      </c>
      <c r="D12" s="3" t="n">
        <v>96.90000000000001</v>
      </c>
      <c r="E12" s="3" t="n">
        <v>94.7</v>
      </c>
      <c r="F12" s="3" t="n">
        <v>94.3</v>
      </c>
      <c r="G12" s="3" t="n">
        <v>96.3</v>
      </c>
      <c r="H12" s="3" t="n">
        <v>96</v>
      </c>
      <c r="I12" s="3" t="n">
        <v>96.5</v>
      </c>
      <c r="J12" s="3" t="n">
        <v>95</v>
      </c>
      <c r="K12" s="3" t="n">
        <v>95.40000000000001</v>
      </c>
      <c r="L12" s="3" t="n">
        <v>96.2</v>
      </c>
      <c r="M12" s="3" t="n">
        <v>96.5</v>
      </c>
      <c r="N12" s="7">
        <f>AVERAGE(B12:M12)</f>
        <v/>
      </c>
    </row>
    <row r="13">
      <c r="A13" s="4" t="inlineStr">
        <is>
          <t>Uckermark Solarpark</t>
        </is>
      </c>
      <c r="B13" s="4" t="n">
        <v>99.09999999999999</v>
      </c>
      <c r="C13" s="4" t="n">
        <v>98.90000000000001</v>
      </c>
      <c r="D13" s="4" t="n">
        <v>99.8</v>
      </c>
      <c r="E13" s="4" t="n">
        <v>99.09999999999999</v>
      </c>
      <c r="F13" s="4" t="n">
        <v>99.3</v>
      </c>
      <c r="G13" s="4" t="n">
        <v>99</v>
      </c>
      <c r="H13" s="4" t="n">
        <v>99.5</v>
      </c>
      <c r="I13" s="4" t="n">
        <v>99.40000000000001</v>
      </c>
      <c r="J13" s="4" t="n">
        <v>99.59999999999999</v>
      </c>
      <c r="K13" s="4" t="n">
        <v>99</v>
      </c>
      <c r="L13" s="4" t="n">
        <v>99.59999999999999</v>
      </c>
      <c r="M13" s="4" t="n">
        <v>99.40000000000001</v>
      </c>
      <c r="N13" s="8">
        <f>AVERAGE(B13:M13)</f>
        <v/>
      </c>
    </row>
    <row r="14">
      <c r="A14" s="3" t="inlineStr">
        <is>
          <t>Lüneburger Heide Solarpark</t>
        </is>
      </c>
      <c r="B14" s="3" t="n">
        <v>99.40000000000001</v>
      </c>
      <c r="C14" s="3" t="n">
        <v>99.7</v>
      </c>
      <c r="D14" s="3" t="n">
        <v>99.09999999999999</v>
      </c>
      <c r="E14" s="3" t="n">
        <v>99.2</v>
      </c>
      <c r="F14" s="3" t="n">
        <v>99.40000000000001</v>
      </c>
      <c r="G14" s="3" t="n">
        <v>99.2</v>
      </c>
      <c r="H14" s="3" t="n">
        <v>98.90000000000001</v>
      </c>
      <c r="I14" s="3" t="n">
        <v>99.3</v>
      </c>
      <c r="J14" s="3" t="n">
        <v>99.40000000000001</v>
      </c>
      <c r="K14" s="3" t="n">
        <v>99.40000000000001</v>
      </c>
      <c r="L14" s="3" t="n">
        <v>99.8</v>
      </c>
      <c r="M14" s="3" t="n">
        <v>99.5</v>
      </c>
      <c r="N14" s="7">
        <f>AVERAGE(B14:M14)</f>
        <v/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70" customWidth="1" min="3" max="3"/>
  </cols>
  <sheetData>
    <row r="1">
      <c r="A1" s="2" t="inlineStr">
        <is>
          <t>Date</t>
        </is>
      </c>
      <c r="B1" s="2" t="inlineStr">
        <is>
          <t>Asset</t>
        </is>
      </c>
      <c r="C1" s="2" t="inlineStr">
        <is>
          <t>Note</t>
        </is>
      </c>
    </row>
    <row r="2">
      <c r="A2" s="3" t="inlineStr">
        <is>
          <t>2025-02-03</t>
        </is>
      </c>
      <c r="B2" s="3" t="inlineStr">
        <is>
          <t>Dunmore Hill</t>
        </is>
      </c>
      <c r="C2" s="3" t="inlineStr">
        <is>
          <t>Main bearing exchange T-09, 11 days offline</t>
        </is>
      </c>
    </row>
    <row r="3">
      <c r="A3" s="4" t="inlineStr">
        <is>
          <t>2025-05-12</t>
        </is>
      </c>
      <c r="B3" s="4" t="inlineStr">
        <is>
          <t>Nordheide</t>
        </is>
      </c>
      <c r="C3" s="4" t="inlineStr">
        <is>
          <t>Redispatch 2.0 curtailment above 6 % in the month</t>
        </is>
      </c>
    </row>
    <row r="4">
      <c r="A4" s="3" t="inlineStr">
        <is>
          <t>2025-07-08</t>
        </is>
      </c>
      <c r="B4" s="3" t="inlineStr">
        <is>
          <t>Uckermark Solar</t>
        </is>
      </c>
      <c r="C4" s="3" t="inlineStr">
        <is>
          <t>Central inverter INV-07 failure, 9 days at 93 % capacity</t>
        </is>
      </c>
    </row>
    <row r="5">
      <c r="A5" s="4" t="inlineStr">
        <is>
          <t>2025-10-21</t>
        </is>
      </c>
      <c r="B5" s="4" t="inlineStr">
        <is>
          <t>Altmark</t>
        </is>
      </c>
      <c r="C5" s="4" t="inlineStr">
        <is>
          <t>WEA 12 transformer gas relay alarm, 5 days offline for oil analysis and repair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Chen</dc:creator>
  <dcterms:created xmlns:dcterms="http://purl.org/dc/terms/" xmlns:xsi="http://www.w3.org/2001/XMLSchema-instance" xsi:type="dcterms:W3CDTF">2025-01-13T10:00:00Z</dcterms:created>
  <dcterms:modified xmlns:dcterms="http://purl.org/dc/terms/" xmlns:xsi="http://www.w3.org/2001/XMLSchema-instance" xsi:type="dcterms:W3CDTF">2026-10-04T19:30:40Z</dcterms:modified>
  <cp:lastModifiedBy>David Chen</cp:lastModifiedBy>
</cp:coreProperties>
</file>