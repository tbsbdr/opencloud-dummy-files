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Criticality rules" sheetId="2" state="visible" r:id="rId2"/>
  </sheets>
  <definedNames>
    <definedName name="_xlnm._FilterDatabase" localSheetId="0" hidden="1">'Inventory'!$A$1:$K$132</definedName>
    <definedName name="_xlnm._FilterDatabase" localSheetId="1" hidden="1">'Criticality rules'!$A$1:$C$4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3" fontId="1" fillId="0" borderId="1" pivotButton="0" quotePrefix="0" xfId="0"/>
    <xf numFmtId="0" fontId="1" fillId="3" borderId="1" pivotButton="0" quotePrefix="0" xfId="0"/>
    <xf numFmtId="3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22" customWidth="1" min="3" max="3"/>
    <col width="26" customWidth="1" min="4" max="4"/>
    <col width="9" customWidth="1" min="5" max="5"/>
    <col width="9" customWidth="1" min="6" max="6"/>
    <col width="14" customWidth="1" min="7" max="7"/>
    <col width="16" customWidth="1" min="8" max="8"/>
    <col width="10" customWidth="1" min="9" max="9"/>
    <col width="14" customWidth="1" min="10" max="10"/>
    <col width="11" customWidth="1" min="11" max="11"/>
  </cols>
  <sheetData>
    <row r="1">
      <c r="A1" s="1" t="inlineStr">
        <is>
          <t>Item</t>
        </is>
      </c>
      <c r="B1" s="1" t="inlineStr">
        <is>
          <t>Part number</t>
        </is>
      </c>
      <c r="C1" s="1" t="inlineStr">
        <is>
          <t>Asset</t>
        </is>
      </c>
      <c r="D1" s="1" t="inlineStr">
        <is>
          <t>Location</t>
        </is>
      </c>
      <c r="E1" s="1" t="inlineStr">
        <is>
          <t>On hand</t>
        </is>
      </c>
      <c r="F1" s="1" t="inlineStr">
        <is>
          <t>Min stock</t>
        </is>
      </c>
      <c r="G1" s="1" t="inlineStr">
        <is>
          <t>Unit cost (EUR)</t>
        </is>
      </c>
      <c r="H1" s="1" t="inlineStr">
        <is>
          <t>Stock value (EUR)</t>
        </is>
      </c>
      <c r="I1" s="1" t="inlineStr">
        <is>
          <t>Criticality</t>
        </is>
      </c>
      <c r="J1" s="1" t="inlineStr">
        <is>
          <t>Lead time (weeks)</t>
        </is>
      </c>
      <c r="K1" s="1" t="inlineStr">
        <is>
          <t>Below min?</t>
        </is>
      </c>
    </row>
    <row r="2">
      <c r="A2" s="2" t="inlineStr">
        <is>
          <t>Pitch motor 4.2 MW</t>
        </is>
      </c>
      <c r="B2" s="2" t="inlineStr">
        <is>
          <t>PM-42-110</t>
        </is>
      </c>
      <c r="C2" s="2" t="inlineStr">
        <is>
          <t>Kestrel Ridge</t>
        </is>
      </c>
      <c r="D2" s="2" t="inlineStr">
        <is>
          <t>Galashiels (Highline)</t>
        </is>
      </c>
      <c r="E2" s="2" t="n">
        <v>0</v>
      </c>
      <c r="F2" s="2" t="n">
        <v>1</v>
      </c>
      <c r="G2" s="3" t="n">
        <v>6800</v>
      </c>
      <c r="H2" s="3">
        <f>E2*G2</f>
        <v/>
      </c>
      <c r="I2" s="2" t="inlineStr">
        <is>
          <t>A</t>
        </is>
      </c>
      <c r="J2" s="2" t="n">
        <v>14</v>
      </c>
      <c r="K2" s="2">
        <f>IF(E2&lt;F2,"REORDER","")</f>
        <v/>
      </c>
    </row>
    <row r="3">
      <c r="A3" s="4" t="inlineStr">
        <is>
          <t>Pitch accumulator 32 l</t>
        </is>
      </c>
      <c r="B3" s="4" t="inlineStr">
        <is>
          <t>PA-32-07</t>
        </is>
      </c>
      <c r="C3" s="4" t="inlineStr">
        <is>
          <t>Kestrel Ridge</t>
        </is>
      </c>
      <c r="D3" s="4" t="inlineStr">
        <is>
          <t>Galashiels (Highline)</t>
        </is>
      </c>
      <c r="E3" s="4" t="n">
        <v>1</v>
      </c>
      <c r="F3" s="4" t="n">
        <v>2</v>
      </c>
      <c r="G3" s="5" t="n">
        <v>1450</v>
      </c>
      <c r="H3" s="5">
        <f>E3*G3</f>
        <v/>
      </c>
      <c r="I3" s="4" t="inlineStr">
        <is>
          <t>B</t>
        </is>
      </c>
      <c r="J3" s="4" t="n">
        <v>6</v>
      </c>
      <c r="K3" s="4">
        <f>IF(E3&lt;F3,"REORDER","")</f>
        <v/>
      </c>
    </row>
    <row r="4">
      <c r="A4" s="2" t="inlineStr">
        <is>
          <t>Yaw brake pad set</t>
        </is>
      </c>
      <c r="B4" s="2" t="inlineStr">
        <is>
          <t>YB-PAD-12</t>
        </is>
      </c>
      <c r="C4" s="2" t="inlineStr">
        <is>
          <t>Kestrel Ridge</t>
        </is>
      </c>
      <c r="D4" s="2" t="inlineStr">
        <is>
          <t>Galashiels (Highline)</t>
        </is>
      </c>
      <c r="E4" s="2" t="n">
        <v>9</v>
      </c>
      <c r="F4" s="2" t="n">
        <v>6</v>
      </c>
      <c r="G4" s="3" t="n">
        <v>380</v>
      </c>
      <c r="H4" s="3">
        <f>E4*G4</f>
        <v/>
      </c>
      <c r="I4" s="2" t="inlineStr">
        <is>
          <t>C</t>
        </is>
      </c>
      <c r="J4" s="2" t="n">
        <v>4</v>
      </c>
      <c r="K4" s="2">
        <f>IF(E4&lt;F4,"REORDER","")</f>
        <v/>
      </c>
    </row>
    <row r="5">
      <c r="A5" s="4" t="inlineStr">
        <is>
          <t>Yaw drive gearbox</t>
        </is>
      </c>
      <c r="B5" s="4" t="inlineStr">
        <is>
          <t>YD-GB-04</t>
        </is>
      </c>
      <c r="C5" s="4" t="inlineStr">
        <is>
          <t>Kestrel Ridge</t>
        </is>
      </c>
      <c r="D5" s="4" t="inlineStr">
        <is>
          <t>Galashiels (Highline)</t>
        </is>
      </c>
      <c r="E5" s="4" t="n">
        <v>2</v>
      </c>
      <c r="F5" s="4" t="n">
        <v>1</v>
      </c>
      <c r="G5" s="5" t="n">
        <v>12400</v>
      </c>
      <c r="H5" s="5">
        <f>E5*G5</f>
        <v/>
      </c>
      <c r="I5" s="4" t="inlineStr">
        <is>
          <t>A</t>
        </is>
      </c>
      <c r="J5" s="4" t="n">
        <v>20</v>
      </c>
      <c r="K5" s="4">
        <f>IF(E5&lt;F5,"REORDER","")</f>
        <v/>
      </c>
    </row>
    <row r="6">
      <c r="A6" s="2" t="inlineStr">
        <is>
          <t>Generator slip ring assembly</t>
        </is>
      </c>
      <c r="B6" s="2" t="inlineStr">
        <is>
          <t>GS-SR-22</t>
        </is>
      </c>
      <c r="C6" s="2" t="inlineStr">
        <is>
          <t>Kestrel Ridge</t>
        </is>
      </c>
      <c r="D6" s="2" t="inlineStr">
        <is>
          <t>Galashiels (Highline)</t>
        </is>
      </c>
      <c r="E6" s="2" t="n">
        <v>5</v>
      </c>
      <c r="F6" s="2" t="n">
        <v>2</v>
      </c>
      <c r="G6" s="3" t="n">
        <v>7600</v>
      </c>
      <c r="H6" s="3">
        <f>E6*G6</f>
        <v/>
      </c>
      <c r="I6" s="2" t="inlineStr">
        <is>
          <t>B</t>
        </is>
      </c>
      <c r="J6" s="2" t="n">
        <v>12</v>
      </c>
      <c r="K6" s="2">
        <f>IF(E6&lt;F6,"REORDER","")</f>
        <v/>
      </c>
    </row>
    <row r="7">
      <c r="A7" s="4" t="inlineStr">
        <is>
          <t>Carbon brush set</t>
        </is>
      </c>
      <c r="B7" s="4" t="inlineStr">
        <is>
          <t>GS-CB-06</t>
        </is>
      </c>
      <c r="C7" s="4" t="inlineStr">
        <is>
          <t>Kestrel Ridge</t>
        </is>
      </c>
      <c r="D7" s="4" t="inlineStr">
        <is>
          <t>Galashiels (Highline)</t>
        </is>
      </c>
      <c r="E7" s="4" t="n">
        <v>12</v>
      </c>
      <c r="F7" s="4" t="n">
        <v>6</v>
      </c>
      <c r="G7" s="5" t="n">
        <v>210</v>
      </c>
      <c r="H7" s="5">
        <f>E7*G7</f>
        <v/>
      </c>
      <c r="I7" s="4" t="inlineStr">
        <is>
          <t>C</t>
        </is>
      </c>
      <c r="J7" s="4" t="n">
        <v>3</v>
      </c>
      <c r="K7" s="4">
        <f>IF(E7&lt;F7,"REORDER","")</f>
        <v/>
      </c>
    </row>
    <row r="8">
      <c r="A8" s="2" t="inlineStr">
        <is>
          <t>Gearbox oil filter element</t>
        </is>
      </c>
      <c r="B8" s="2" t="inlineStr">
        <is>
          <t>GB-OF-310</t>
        </is>
      </c>
      <c r="C8" s="2" t="inlineStr">
        <is>
          <t>Kestrel Ridge</t>
        </is>
      </c>
      <c r="D8" s="2" t="inlineStr">
        <is>
          <t>Galashiels (Highline)</t>
        </is>
      </c>
      <c r="E8" s="2" t="n">
        <v>6</v>
      </c>
      <c r="F8" s="2" t="n">
        <v>6</v>
      </c>
      <c r="G8" s="3" t="n">
        <v>165</v>
      </c>
      <c r="H8" s="3">
        <f>E8*G8</f>
        <v/>
      </c>
      <c r="I8" s="2" t="inlineStr">
        <is>
          <t>C</t>
        </is>
      </c>
      <c r="J8" s="2" t="n">
        <v>2</v>
      </c>
      <c r="K8" s="2">
        <f>IF(E8&lt;F8,"REORDER","")</f>
        <v/>
      </c>
    </row>
    <row r="9">
      <c r="A9" s="4" t="inlineStr">
        <is>
          <t>HSS bearing set</t>
        </is>
      </c>
      <c r="B9" s="4" t="inlineStr">
        <is>
          <t>GB-HSS-BRG</t>
        </is>
      </c>
      <c r="C9" s="4" t="inlineStr">
        <is>
          <t>Kestrel Ridge</t>
        </is>
      </c>
      <c r="D9" s="4" t="inlineStr">
        <is>
          <t>Galashiels (Highline)</t>
        </is>
      </c>
      <c r="E9" s="4" t="n">
        <v>4</v>
      </c>
      <c r="F9" s="4" t="n">
        <v>1</v>
      </c>
      <c r="G9" s="5" t="n">
        <v>11200</v>
      </c>
      <c r="H9" s="5">
        <f>E9*G9</f>
        <v/>
      </c>
      <c r="I9" s="4" t="inlineStr">
        <is>
          <t>A</t>
        </is>
      </c>
      <c r="J9" s="4" t="n">
        <v>22</v>
      </c>
      <c r="K9" s="4">
        <f>IF(E9&lt;F9,"REORDER","")</f>
        <v/>
      </c>
    </row>
    <row r="10">
      <c r="A10" s="2" t="inlineStr">
        <is>
          <t>Main shaft temperature sensor</t>
        </is>
      </c>
      <c r="B10" s="2" t="inlineStr">
        <is>
          <t>MS-TS-01</t>
        </is>
      </c>
      <c r="C10" s="2" t="inlineStr">
        <is>
          <t>Kestrel Ridge</t>
        </is>
      </c>
      <c r="D10" s="2" t="inlineStr">
        <is>
          <t>Galashiels (Highline)</t>
        </is>
      </c>
      <c r="E10" s="2" t="n">
        <v>12</v>
      </c>
      <c r="F10" s="2" t="n">
        <v>6</v>
      </c>
      <c r="G10" s="3" t="n">
        <v>140</v>
      </c>
      <c r="H10" s="3">
        <f>E10*G10</f>
        <v/>
      </c>
      <c r="I10" s="2" t="inlineStr">
        <is>
          <t>C</t>
        </is>
      </c>
      <c r="J10" s="2" t="n">
        <v>2</v>
      </c>
      <c r="K10" s="2">
        <f>IF(E10&lt;F10,"REORDER","")</f>
        <v/>
      </c>
    </row>
    <row r="11">
      <c r="A11" s="4" t="inlineStr">
        <is>
          <t>Service lift wire rope 120 m</t>
        </is>
      </c>
      <c r="B11" s="4" t="inlineStr">
        <is>
          <t>SL-WR-120</t>
        </is>
      </c>
      <c r="C11" s="4" t="inlineStr">
        <is>
          <t>Kestrel Ridge</t>
        </is>
      </c>
      <c r="D11" s="4" t="inlineStr">
        <is>
          <t>Galashiels (Highline)</t>
        </is>
      </c>
      <c r="E11" s="4" t="n">
        <v>4</v>
      </c>
      <c r="F11" s="4" t="n">
        <v>2</v>
      </c>
      <c r="G11" s="5" t="n">
        <v>980</v>
      </c>
      <c r="H11" s="5">
        <f>E11*G11</f>
        <v/>
      </c>
      <c r="I11" s="4" t="inlineStr">
        <is>
          <t>B</t>
        </is>
      </c>
      <c r="J11" s="4" t="n">
        <v>4</v>
      </c>
      <c r="K11" s="4">
        <f>IF(E11&lt;F11,"REORDER","")</f>
        <v/>
      </c>
    </row>
    <row r="12">
      <c r="A12" s="2" t="inlineStr">
        <is>
          <t>Fall arrest runner</t>
        </is>
      </c>
      <c r="B12" s="2" t="inlineStr">
        <is>
          <t>FA-RUN-03</t>
        </is>
      </c>
      <c r="C12" s="2" t="inlineStr">
        <is>
          <t>Kestrel Ridge</t>
        </is>
      </c>
      <c r="D12" s="2" t="inlineStr">
        <is>
          <t>Galashiels (Highline)</t>
        </is>
      </c>
      <c r="E12" s="2" t="n">
        <v>6</v>
      </c>
      <c r="F12" s="2" t="n">
        <v>6</v>
      </c>
      <c r="G12" s="3" t="n">
        <v>320</v>
      </c>
      <c r="H12" s="3">
        <f>E12*G12</f>
        <v/>
      </c>
      <c r="I12" s="2" t="inlineStr">
        <is>
          <t>C</t>
        </is>
      </c>
      <c r="J12" s="2" t="n">
        <v>2</v>
      </c>
      <c r="K12" s="2">
        <f>IF(E12&lt;F12,"REORDER","")</f>
        <v/>
      </c>
    </row>
    <row r="13">
      <c r="A13" s="4" t="inlineStr">
        <is>
          <t>Tower base controller PLC</t>
        </is>
      </c>
      <c r="B13" s="4" t="inlineStr">
        <is>
          <t>TBC-PLC-9</t>
        </is>
      </c>
      <c r="C13" s="4" t="inlineStr">
        <is>
          <t>Kestrel Ridge</t>
        </is>
      </c>
      <c r="D13" s="4" t="inlineStr">
        <is>
          <t>Galashiels (Highline)</t>
        </is>
      </c>
      <c r="E13" s="4" t="n">
        <v>0</v>
      </c>
      <c r="F13" s="4" t="n">
        <v>1</v>
      </c>
      <c r="G13" s="5" t="n">
        <v>4300</v>
      </c>
      <c r="H13" s="5">
        <f>E13*G13</f>
        <v/>
      </c>
      <c r="I13" s="4" t="inlineStr">
        <is>
          <t>A</t>
        </is>
      </c>
      <c r="J13" s="4" t="n">
        <v>16</v>
      </c>
      <c r="K13" s="4">
        <f>IF(E13&lt;F13,"REORDER","")</f>
        <v/>
      </c>
    </row>
    <row r="14">
      <c r="A14" s="2" t="inlineStr">
        <is>
          <t>Pitch motor 4.2 MW</t>
        </is>
      </c>
      <c r="B14" s="2" t="inlineStr">
        <is>
          <t>PM-42-110</t>
        </is>
      </c>
      <c r="C14" s="2" t="inlineStr">
        <is>
          <t>Skerrow Moor</t>
        </is>
      </c>
      <c r="D14" s="2" t="inlineStr">
        <is>
          <t>Skerrow site store</t>
        </is>
      </c>
      <c r="E14" s="2" t="n">
        <v>1</v>
      </c>
      <c r="F14" s="2" t="n">
        <v>1</v>
      </c>
      <c r="G14" s="3" t="n">
        <v>6800</v>
      </c>
      <c r="H14" s="3">
        <f>E14*G14</f>
        <v/>
      </c>
      <c r="I14" s="2" t="inlineStr">
        <is>
          <t>A</t>
        </is>
      </c>
      <c r="J14" s="2" t="n">
        <v>14</v>
      </c>
      <c r="K14" s="2">
        <f>IF(E14&lt;F14,"REORDER","")</f>
        <v/>
      </c>
    </row>
    <row r="15">
      <c r="A15" s="4" t="inlineStr">
        <is>
          <t>Pitch accumulator 32 l</t>
        </is>
      </c>
      <c r="B15" s="4" t="inlineStr">
        <is>
          <t>PA-32-07</t>
        </is>
      </c>
      <c r="C15" s="4" t="inlineStr">
        <is>
          <t>Skerrow Moor</t>
        </is>
      </c>
      <c r="D15" s="4" t="inlineStr">
        <is>
          <t>Skerrow site store</t>
        </is>
      </c>
      <c r="E15" s="4" t="n">
        <v>1</v>
      </c>
      <c r="F15" s="4" t="n">
        <v>2</v>
      </c>
      <c r="G15" s="5" t="n">
        <v>1450</v>
      </c>
      <c r="H15" s="5">
        <f>E15*G15</f>
        <v/>
      </c>
      <c r="I15" s="4" t="inlineStr">
        <is>
          <t>B</t>
        </is>
      </c>
      <c r="J15" s="4" t="n">
        <v>6</v>
      </c>
      <c r="K15" s="4">
        <f>IF(E15&lt;F15,"REORDER","")</f>
        <v/>
      </c>
    </row>
    <row r="16">
      <c r="A16" s="2" t="inlineStr">
        <is>
          <t>Yaw brake pad set</t>
        </is>
      </c>
      <c r="B16" s="2" t="inlineStr">
        <is>
          <t>YB-PAD-12</t>
        </is>
      </c>
      <c r="C16" s="2" t="inlineStr">
        <is>
          <t>Skerrow Moor</t>
        </is>
      </c>
      <c r="D16" s="2" t="inlineStr">
        <is>
          <t>Skerrow site store</t>
        </is>
      </c>
      <c r="E16" s="2" t="n">
        <v>9</v>
      </c>
      <c r="F16" s="2" t="n">
        <v>6</v>
      </c>
      <c r="G16" s="3" t="n">
        <v>380</v>
      </c>
      <c r="H16" s="3">
        <f>E16*G16</f>
        <v/>
      </c>
      <c r="I16" s="2" t="inlineStr">
        <is>
          <t>C</t>
        </is>
      </c>
      <c r="J16" s="2" t="n">
        <v>4</v>
      </c>
      <c r="K16" s="2">
        <f>IF(E16&lt;F16,"REORDER","")</f>
        <v/>
      </c>
    </row>
    <row r="17">
      <c r="A17" s="4" t="inlineStr">
        <is>
          <t>Yaw drive gearbox</t>
        </is>
      </c>
      <c r="B17" s="4" t="inlineStr">
        <is>
          <t>YD-GB-04</t>
        </is>
      </c>
      <c r="C17" s="4" t="inlineStr">
        <is>
          <t>Skerrow Moor</t>
        </is>
      </c>
      <c r="D17" s="4" t="inlineStr">
        <is>
          <t>Skerrow site store</t>
        </is>
      </c>
      <c r="E17" s="4" t="n">
        <v>0</v>
      </c>
      <c r="F17" s="4" t="n">
        <v>1</v>
      </c>
      <c r="G17" s="5" t="n">
        <v>12400</v>
      </c>
      <c r="H17" s="5">
        <f>E17*G17</f>
        <v/>
      </c>
      <c r="I17" s="4" t="inlineStr">
        <is>
          <t>A</t>
        </is>
      </c>
      <c r="J17" s="4" t="n">
        <v>20</v>
      </c>
      <c r="K17" s="4">
        <f>IF(E17&lt;F17,"REORDER","")</f>
        <v/>
      </c>
    </row>
    <row r="18">
      <c r="A18" s="2" t="inlineStr">
        <is>
          <t>Generator slip ring assembly</t>
        </is>
      </c>
      <c r="B18" s="2" t="inlineStr">
        <is>
          <t>GS-SR-22</t>
        </is>
      </c>
      <c r="C18" s="2" t="inlineStr">
        <is>
          <t>Skerrow Moor</t>
        </is>
      </c>
      <c r="D18" s="2" t="inlineStr">
        <is>
          <t>Skerrow site store</t>
        </is>
      </c>
      <c r="E18" s="2" t="n">
        <v>3</v>
      </c>
      <c r="F18" s="2" t="n">
        <v>2</v>
      </c>
      <c r="G18" s="3" t="n">
        <v>7600</v>
      </c>
      <c r="H18" s="3">
        <f>E18*G18</f>
        <v/>
      </c>
      <c r="I18" s="2" t="inlineStr">
        <is>
          <t>B</t>
        </is>
      </c>
      <c r="J18" s="2" t="n">
        <v>12</v>
      </c>
      <c r="K18" s="2">
        <f>IF(E18&lt;F18,"REORDER","")</f>
        <v/>
      </c>
    </row>
    <row r="19">
      <c r="A19" s="4" t="inlineStr">
        <is>
          <t>Gearbox oil filter element</t>
        </is>
      </c>
      <c r="B19" s="4" t="inlineStr">
        <is>
          <t>GB-OF-310</t>
        </is>
      </c>
      <c r="C19" s="4" t="inlineStr">
        <is>
          <t>Skerrow Moor</t>
        </is>
      </c>
      <c r="D19" s="4" t="inlineStr">
        <is>
          <t>Skerrow site store</t>
        </is>
      </c>
      <c r="E19" s="4" t="n">
        <v>6</v>
      </c>
      <c r="F19" s="4" t="n">
        <v>6</v>
      </c>
      <c r="G19" s="5" t="n">
        <v>165</v>
      </c>
      <c r="H19" s="5">
        <f>E19*G19</f>
        <v/>
      </c>
      <c r="I19" s="4" t="inlineStr">
        <is>
          <t>C</t>
        </is>
      </c>
      <c r="J19" s="4" t="n">
        <v>2</v>
      </c>
      <c r="K19" s="4">
        <f>IF(E19&lt;F19,"REORDER","")</f>
        <v/>
      </c>
    </row>
    <row r="20">
      <c r="A20" s="2" t="inlineStr">
        <is>
          <t>ISS bearing (rotor side)</t>
        </is>
      </c>
      <c r="B20" s="2" t="inlineStr">
        <is>
          <t>GB-ISS-BRG-R</t>
        </is>
      </c>
      <c r="C20" s="2" t="inlineStr">
        <is>
          <t>Skerrow Moor</t>
        </is>
      </c>
      <c r="D20" s="2" t="inlineStr">
        <is>
          <t>Skerrow site store</t>
        </is>
      </c>
      <c r="E20" s="2" t="n">
        <v>0</v>
      </c>
      <c r="F20" s="2" t="n">
        <v>1</v>
      </c>
      <c r="G20" s="3" t="n">
        <v>18600</v>
      </c>
      <c r="H20" s="3">
        <f>E20*G20</f>
        <v/>
      </c>
      <c r="I20" s="2" t="inlineStr">
        <is>
          <t>A</t>
        </is>
      </c>
      <c r="J20" s="2" t="n">
        <v>26</v>
      </c>
      <c r="K20" s="2">
        <f>IF(E20&lt;F20,"REORDER","")</f>
        <v/>
      </c>
    </row>
    <row r="21">
      <c r="A21" s="4" t="inlineStr">
        <is>
          <t>HSS bearing set</t>
        </is>
      </c>
      <c r="B21" s="4" t="inlineStr">
        <is>
          <t>GB-HSS-BRG</t>
        </is>
      </c>
      <c r="C21" s="4" t="inlineStr">
        <is>
          <t>Skerrow Moor</t>
        </is>
      </c>
      <c r="D21" s="4" t="inlineStr">
        <is>
          <t>Skerrow site store</t>
        </is>
      </c>
      <c r="E21" s="4" t="n">
        <v>3</v>
      </c>
      <c r="F21" s="4" t="n">
        <v>1</v>
      </c>
      <c r="G21" s="5" t="n">
        <v>11200</v>
      </c>
      <c r="H21" s="5">
        <f>E21*G21</f>
        <v/>
      </c>
      <c r="I21" s="4" t="inlineStr">
        <is>
          <t>A</t>
        </is>
      </c>
      <c r="J21" s="4" t="n">
        <v>22</v>
      </c>
      <c r="K21" s="4">
        <f>IF(E21&lt;F21,"REORDER","")</f>
        <v/>
      </c>
    </row>
    <row r="22">
      <c r="A22" s="2" t="inlineStr">
        <is>
          <t>Hydraulic pump unit</t>
        </is>
      </c>
      <c r="B22" s="2" t="inlineStr">
        <is>
          <t>HY-PU-18</t>
        </is>
      </c>
      <c r="C22" s="2" t="inlineStr">
        <is>
          <t>Skerrow Moor</t>
        </is>
      </c>
      <c r="D22" s="2" t="inlineStr">
        <is>
          <t>Skerrow site store</t>
        </is>
      </c>
      <c r="E22" s="2" t="n">
        <v>4</v>
      </c>
      <c r="F22" s="2" t="n">
        <v>2</v>
      </c>
      <c r="G22" s="3" t="n">
        <v>5400</v>
      </c>
      <c r="H22" s="3">
        <f>E22*G22</f>
        <v/>
      </c>
      <c r="I22" s="2" t="inlineStr">
        <is>
          <t>B</t>
        </is>
      </c>
      <c r="J22" s="2" t="n">
        <v>10</v>
      </c>
      <c r="K22" s="2">
        <f>IF(E22&lt;F22,"REORDER","")</f>
        <v/>
      </c>
    </row>
    <row r="23">
      <c r="A23" s="4" t="inlineStr">
        <is>
          <t>Service lift wire rope 120 m</t>
        </is>
      </c>
      <c r="B23" s="4" t="inlineStr">
        <is>
          <t>SL-WR-120</t>
        </is>
      </c>
      <c r="C23" s="4" t="inlineStr">
        <is>
          <t>Skerrow Moor</t>
        </is>
      </c>
      <c r="D23" s="4" t="inlineStr">
        <is>
          <t>Skerrow site store</t>
        </is>
      </c>
      <c r="E23" s="4" t="n">
        <v>2</v>
      </c>
      <c r="F23" s="4" t="n">
        <v>2</v>
      </c>
      <c r="G23" s="5" t="n">
        <v>980</v>
      </c>
      <c r="H23" s="5">
        <f>E23*G23</f>
        <v/>
      </c>
      <c r="I23" s="4" t="inlineStr">
        <is>
          <t>B</t>
        </is>
      </c>
      <c r="J23" s="4" t="n">
        <v>4</v>
      </c>
      <c r="K23" s="4">
        <f>IF(E23&lt;F23,"REORDER","")</f>
        <v/>
      </c>
    </row>
    <row r="24">
      <c r="A24" s="2" t="inlineStr">
        <is>
          <t>Tower base controller PLC</t>
        </is>
      </c>
      <c r="B24" s="2" t="inlineStr">
        <is>
          <t>TBC-PLC-9</t>
        </is>
      </c>
      <c r="C24" s="2" t="inlineStr">
        <is>
          <t>Skerrow Moor</t>
        </is>
      </c>
      <c r="D24" s="2" t="inlineStr">
        <is>
          <t>Skerrow site store</t>
        </is>
      </c>
      <c r="E24" s="2" t="n">
        <v>3</v>
      </c>
      <c r="F24" s="2" t="n">
        <v>1</v>
      </c>
      <c r="G24" s="3" t="n">
        <v>4300</v>
      </c>
      <c r="H24" s="3">
        <f>E24*G24</f>
        <v/>
      </c>
      <c r="I24" s="2" t="inlineStr">
        <is>
          <t>A</t>
        </is>
      </c>
      <c r="J24" s="2" t="n">
        <v>16</v>
      </c>
      <c r="K24" s="2">
        <f>IF(E24&lt;F24,"REORDER","")</f>
        <v/>
      </c>
    </row>
    <row r="25">
      <c r="A25" s="4" t="inlineStr">
        <is>
          <t>Aviation light LED unit</t>
        </is>
      </c>
      <c r="B25" s="4" t="inlineStr">
        <is>
          <t>AV-LED-2000</t>
        </is>
      </c>
      <c r="C25" s="4" t="inlineStr">
        <is>
          <t>Skerrow Moor</t>
        </is>
      </c>
      <c r="D25" s="4" t="inlineStr">
        <is>
          <t>Skerrow site store</t>
        </is>
      </c>
      <c r="E25" s="4" t="n">
        <v>5</v>
      </c>
      <c r="F25" s="4" t="n">
        <v>2</v>
      </c>
      <c r="G25" s="5" t="n">
        <v>860</v>
      </c>
      <c r="H25" s="5">
        <f>E25*G25</f>
        <v/>
      </c>
      <c r="I25" s="4" t="inlineStr">
        <is>
          <t>B</t>
        </is>
      </c>
      <c r="J25" s="4" t="n">
        <v>6</v>
      </c>
      <c r="K25" s="4">
        <f>IF(E25&lt;F25,"REORDER","")</f>
        <v/>
      </c>
    </row>
    <row r="26">
      <c r="A26" s="2" t="inlineStr">
        <is>
          <t>33 kV cable termination kit</t>
        </is>
      </c>
      <c r="B26" s="2" t="inlineStr">
        <is>
          <t>HV-TERM-33</t>
        </is>
      </c>
      <c r="C26" s="2" t="inlineStr">
        <is>
          <t>Skerrow Moor</t>
        </is>
      </c>
      <c r="D26" s="2" t="inlineStr">
        <is>
          <t>Skerrow site store</t>
        </is>
      </c>
      <c r="E26" s="2" t="n">
        <v>1</v>
      </c>
      <c r="F26" s="2" t="n">
        <v>2</v>
      </c>
      <c r="G26" s="3" t="n">
        <v>690</v>
      </c>
      <c r="H26" s="3">
        <f>E26*G26</f>
        <v/>
      </c>
      <c r="I26" s="2" t="inlineStr">
        <is>
          <t>B</t>
        </is>
      </c>
      <c r="J26" s="2" t="n">
        <v>4</v>
      </c>
      <c r="K26" s="2">
        <f>IF(E26&lt;F26,"REORDER","")</f>
        <v/>
      </c>
    </row>
    <row r="27">
      <c r="A27" s="4" t="inlineStr">
        <is>
          <t>Surge arrester 33 kV</t>
        </is>
      </c>
      <c r="B27" s="4" t="inlineStr">
        <is>
          <t>HV-SA-33</t>
        </is>
      </c>
      <c r="C27" s="4" t="inlineStr">
        <is>
          <t>Skerrow Moor</t>
        </is>
      </c>
      <c r="D27" s="4" t="inlineStr">
        <is>
          <t>Skerrow site store</t>
        </is>
      </c>
      <c r="E27" s="4" t="n">
        <v>3</v>
      </c>
      <c r="F27" s="4" t="n">
        <v>2</v>
      </c>
      <c r="G27" s="5" t="n">
        <v>540</v>
      </c>
      <c r="H27" s="5">
        <f>E27*G27</f>
        <v/>
      </c>
      <c r="I27" s="4" t="inlineStr">
        <is>
          <t>B</t>
        </is>
      </c>
      <c r="J27" s="4" t="n">
        <v>6</v>
      </c>
      <c r="K27" s="4">
        <f>IF(E27&lt;F27,"REORDER","")</f>
        <v/>
      </c>
    </row>
    <row r="28">
      <c r="A28" s="2" t="inlineStr">
        <is>
          <t>Generator slip ring assembly</t>
        </is>
      </c>
      <c r="B28" s="2" t="inlineStr">
        <is>
          <t>GS-SR-22</t>
        </is>
      </c>
      <c r="C28" s="2" t="inlineStr">
        <is>
          <t>Dunmore Hill</t>
        </is>
      </c>
      <c r="D28" s="2" t="inlineStr">
        <is>
          <t>Dunmore site store</t>
        </is>
      </c>
      <c r="E28" s="2" t="n">
        <v>3</v>
      </c>
      <c r="F28" s="2" t="n">
        <v>2</v>
      </c>
      <c r="G28" s="3" t="n">
        <v>7600</v>
      </c>
      <c r="H28" s="3">
        <f>E28*G28</f>
        <v/>
      </c>
      <c r="I28" s="2" t="inlineStr">
        <is>
          <t>B</t>
        </is>
      </c>
      <c r="J28" s="2" t="n">
        <v>12</v>
      </c>
      <c r="K28" s="2">
        <f>IF(E28&lt;F28,"REORDER","")</f>
        <v/>
      </c>
    </row>
    <row r="29">
      <c r="A29" s="4" t="inlineStr">
        <is>
          <t>Carbon brush set</t>
        </is>
      </c>
      <c r="B29" s="4" t="inlineStr">
        <is>
          <t>GS-CB-06</t>
        </is>
      </c>
      <c r="C29" s="4" t="inlineStr">
        <is>
          <t>Dunmore Hill</t>
        </is>
      </c>
      <c r="D29" s="4" t="inlineStr">
        <is>
          <t>Dunmore site store</t>
        </is>
      </c>
      <c r="E29" s="4" t="n">
        <v>15</v>
      </c>
      <c r="F29" s="4" t="n">
        <v>6</v>
      </c>
      <c r="G29" s="5" t="n">
        <v>210</v>
      </c>
      <c r="H29" s="5">
        <f>E29*G29</f>
        <v/>
      </c>
      <c r="I29" s="4" t="inlineStr">
        <is>
          <t>C</t>
        </is>
      </c>
      <c r="J29" s="4" t="n">
        <v>3</v>
      </c>
      <c r="K29" s="4">
        <f>IF(E29&lt;F29,"REORDER","")</f>
        <v/>
      </c>
    </row>
    <row r="30">
      <c r="A30" s="2" t="inlineStr">
        <is>
          <t>HSS bearing set</t>
        </is>
      </c>
      <c r="B30" s="2" t="inlineStr">
        <is>
          <t>GB-HSS-BRG</t>
        </is>
      </c>
      <c r="C30" s="2" t="inlineStr">
        <is>
          <t>Dunmore Hill</t>
        </is>
      </c>
      <c r="D30" s="2" t="inlineStr">
        <is>
          <t>Dunmore site store</t>
        </is>
      </c>
      <c r="E30" s="2" t="n">
        <v>4</v>
      </c>
      <c r="F30" s="2" t="n">
        <v>1</v>
      </c>
      <c r="G30" s="3" t="n">
        <v>11200</v>
      </c>
      <c r="H30" s="3">
        <f>E30*G30</f>
        <v/>
      </c>
      <c r="I30" s="2" t="inlineStr">
        <is>
          <t>A</t>
        </is>
      </c>
      <c r="J30" s="2" t="n">
        <v>22</v>
      </c>
      <c r="K30" s="2">
        <f>IF(E30&lt;F30,"REORDER","")</f>
        <v/>
      </c>
    </row>
    <row r="31">
      <c r="A31" s="4" t="inlineStr">
        <is>
          <t>Anemometer heated ultrasonic</t>
        </is>
      </c>
      <c r="B31" s="4" t="inlineStr">
        <is>
          <t>MET-US-02</t>
        </is>
      </c>
      <c r="C31" s="4" t="inlineStr">
        <is>
          <t>Dunmore Hill</t>
        </is>
      </c>
      <c r="D31" s="4" t="inlineStr">
        <is>
          <t>Dunmore site store</t>
        </is>
      </c>
      <c r="E31" s="4" t="n">
        <v>2</v>
      </c>
      <c r="F31" s="4" t="n">
        <v>2</v>
      </c>
      <c r="G31" s="5" t="n">
        <v>2100</v>
      </c>
      <c r="H31" s="5">
        <f>E31*G31</f>
        <v/>
      </c>
      <c r="I31" s="4" t="inlineStr">
        <is>
          <t>B</t>
        </is>
      </c>
      <c r="J31" s="4" t="n">
        <v>5</v>
      </c>
      <c r="K31" s="4">
        <f>IF(E31&lt;F31,"REORDER","")</f>
        <v/>
      </c>
    </row>
    <row r="32">
      <c r="A32" s="2" t="inlineStr">
        <is>
          <t>Main shaft temperature sensor</t>
        </is>
      </c>
      <c r="B32" s="2" t="inlineStr">
        <is>
          <t>MS-TS-01</t>
        </is>
      </c>
      <c r="C32" s="2" t="inlineStr">
        <is>
          <t>Dunmore Hill</t>
        </is>
      </c>
      <c r="D32" s="2" t="inlineStr">
        <is>
          <t>Dunmore site store</t>
        </is>
      </c>
      <c r="E32" s="2" t="n">
        <v>3</v>
      </c>
      <c r="F32" s="2" t="n">
        <v>6</v>
      </c>
      <c r="G32" s="3" t="n">
        <v>140</v>
      </c>
      <c r="H32" s="3">
        <f>E32*G32</f>
        <v/>
      </c>
      <c r="I32" s="2" t="inlineStr">
        <is>
          <t>C</t>
        </is>
      </c>
      <c r="J32" s="2" t="n">
        <v>2</v>
      </c>
      <c r="K32" s="2">
        <f>IF(E32&lt;F32,"REORDER","")</f>
        <v/>
      </c>
    </row>
    <row r="33">
      <c r="A33" s="4" t="inlineStr">
        <is>
          <t>Hydraulic pump unit</t>
        </is>
      </c>
      <c r="B33" s="4" t="inlineStr">
        <is>
          <t>HY-PU-18</t>
        </is>
      </c>
      <c r="C33" s="4" t="inlineStr">
        <is>
          <t>Dunmore Hill</t>
        </is>
      </c>
      <c r="D33" s="4" t="inlineStr">
        <is>
          <t>Dunmore site store</t>
        </is>
      </c>
      <c r="E33" s="4" t="n">
        <v>3</v>
      </c>
      <c r="F33" s="4" t="n">
        <v>2</v>
      </c>
      <c r="G33" s="5" t="n">
        <v>5400</v>
      </c>
      <c r="H33" s="5">
        <f>E33*G33</f>
        <v/>
      </c>
      <c r="I33" s="4" t="inlineStr">
        <is>
          <t>B</t>
        </is>
      </c>
      <c r="J33" s="4" t="n">
        <v>10</v>
      </c>
      <c r="K33" s="4">
        <f>IF(E33&lt;F33,"REORDER","")</f>
        <v/>
      </c>
    </row>
    <row r="34">
      <c r="A34" s="2" t="inlineStr">
        <is>
          <t>Aviation light LED unit</t>
        </is>
      </c>
      <c r="B34" s="2" t="inlineStr">
        <is>
          <t>AV-LED-2000</t>
        </is>
      </c>
      <c r="C34" s="2" t="inlineStr">
        <is>
          <t>Dunmore Hill</t>
        </is>
      </c>
      <c r="D34" s="2" t="inlineStr">
        <is>
          <t>Dunmore site store</t>
        </is>
      </c>
      <c r="E34" s="2" t="n">
        <v>3</v>
      </c>
      <c r="F34" s="2" t="n">
        <v>2</v>
      </c>
      <c r="G34" s="3" t="n">
        <v>860</v>
      </c>
      <c r="H34" s="3">
        <f>E34*G34</f>
        <v/>
      </c>
      <c r="I34" s="2" t="inlineStr">
        <is>
          <t>B</t>
        </is>
      </c>
      <c r="J34" s="2" t="n">
        <v>6</v>
      </c>
      <c r="K34" s="2">
        <f>IF(E34&lt;F34,"REORDER","")</f>
        <v/>
      </c>
    </row>
    <row r="35">
      <c r="A35" s="4" t="inlineStr">
        <is>
          <t>Surge arrester 33 kV</t>
        </is>
      </c>
      <c r="B35" s="4" t="inlineStr">
        <is>
          <t>HV-SA-33</t>
        </is>
      </c>
      <c r="C35" s="4" t="inlineStr">
        <is>
          <t>Dunmore Hill</t>
        </is>
      </c>
      <c r="D35" s="4" t="inlineStr">
        <is>
          <t>Dunmore site store</t>
        </is>
      </c>
      <c r="E35" s="4" t="n">
        <v>3</v>
      </c>
      <c r="F35" s="4" t="n">
        <v>2</v>
      </c>
      <c r="G35" s="5" t="n">
        <v>540</v>
      </c>
      <c r="H35" s="5">
        <f>E35*G35</f>
        <v/>
      </c>
      <c r="I35" s="4" t="inlineStr">
        <is>
          <t>B</t>
        </is>
      </c>
      <c r="J35" s="4" t="n">
        <v>6</v>
      </c>
      <c r="K35" s="4">
        <f>IF(E35&lt;F35,"REORDER","")</f>
        <v/>
      </c>
    </row>
    <row r="36">
      <c r="A36" s="2" t="inlineStr">
        <is>
          <t>Pitch motor 4.2 MW</t>
        </is>
      </c>
      <c r="B36" s="2" t="inlineStr">
        <is>
          <t>PM-42-110</t>
        </is>
      </c>
      <c r="C36" s="2" t="inlineStr">
        <is>
          <t>Glenquey</t>
        </is>
      </c>
      <c r="D36" s="2" t="inlineStr">
        <is>
          <t>OEM regional store</t>
        </is>
      </c>
      <c r="E36" s="2" t="n">
        <v>3</v>
      </c>
      <c r="F36" s="2" t="n">
        <v>1</v>
      </c>
      <c r="G36" s="3" t="n">
        <v>6800</v>
      </c>
      <c r="H36" s="3">
        <f>E36*G36</f>
        <v/>
      </c>
      <c r="I36" s="2" t="inlineStr">
        <is>
          <t>A</t>
        </is>
      </c>
      <c r="J36" s="2" t="n">
        <v>14</v>
      </c>
      <c r="K36" s="2">
        <f>IF(E36&lt;F36,"REORDER","")</f>
        <v/>
      </c>
    </row>
    <row r="37">
      <c r="A37" s="4" t="inlineStr">
        <is>
          <t>Pitch accumulator 32 l</t>
        </is>
      </c>
      <c r="B37" s="4" t="inlineStr">
        <is>
          <t>PA-32-07</t>
        </is>
      </c>
      <c r="C37" s="4" t="inlineStr">
        <is>
          <t>Glenquey</t>
        </is>
      </c>
      <c r="D37" s="4" t="inlineStr">
        <is>
          <t>OEM regional store</t>
        </is>
      </c>
      <c r="E37" s="4" t="n">
        <v>5</v>
      </c>
      <c r="F37" s="4" t="n">
        <v>2</v>
      </c>
      <c r="G37" s="5" t="n">
        <v>1450</v>
      </c>
      <c r="H37" s="5">
        <f>E37*G37</f>
        <v/>
      </c>
      <c r="I37" s="4" t="inlineStr">
        <is>
          <t>B</t>
        </is>
      </c>
      <c r="J37" s="4" t="n">
        <v>6</v>
      </c>
      <c r="K37" s="4">
        <f>IF(E37&lt;F37,"REORDER","")</f>
        <v/>
      </c>
    </row>
    <row r="38">
      <c r="A38" s="2" t="inlineStr">
        <is>
          <t>IGBT converter module</t>
        </is>
      </c>
      <c r="B38" s="2" t="inlineStr">
        <is>
          <t>CV-IGBT-1700</t>
        </is>
      </c>
      <c r="C38" s="2" t="inlineStr">
        <is>
          <t>Glenquey</t>
        </is>
      </c>
      <c r="D38" s="2" t="inlineStr">
        <is>
          <t>OEM regional store</t>
        </is>
      </c>
      <c r="E38" s="2" t="n">
        <v>1</v>
      </c>
      <c r="F38" s="2" t="n">
        <v>1</v>
      </c>
      <c r="G38" s="3" t="n">
        <v>9200</v>
      </c>
      <c r="H38" s="3">
        <f>E38*G38</f>
        <v/>
      </c>
      <c r="I38" s="2" t="inlineStr">
        <is>
          <t>A</t>
        </is>
      </c>
      <c r="J38" s="2" t="n">
        <v>18</v>
      </c>
      <c r="K38" s="2">
        <f>IF(E38&lt;F38,"REORDER","")</f>
        <v/>
      </c>
    </row>
    <row r="39">
      <c r="A39" s="4" t="inlineStr">
        <is>
          <t>Yaw drive gearbox</t>
        </is>
      </c>
      <c r="B39" s="4" t="inlineStr">
        <is>
          <t>YD-GB-04</t>
        </is>
      </c>
      <c r="C39" s="4" t="inlineStr">
        <is>
          <t>Glenquey</t>
        </is>
      </c>
      <c r="D39" s="4" t="inlineStr">
        <is>
          <t>OEM regional store</t>
        </is>
      </c>
      <c r="E39" s="4" t="n">
        <v>3</v>
      </c>
      <c r="F39" s="4" t="n">
        <v>1</v>
      </c>
      <c r="G39" s="5" t="n">
        <v>12400</v>
      </c>
      <c r="H39" s="5">
        <f>E39*G39</f>
        <v/>
      </c>
      <c r="I39" s="4" t="inlineStr">
        <is>
          <t>A</t>
        </is>
      </c>
      <c r="J39" s="4" t="n">
        <v>20</v>
      </c>
      <c r="K39" s="4">
        <f>IF(E39&lt;F39,"REORDER","")</f>
        <v/>
      </c>
    </row>
    <row r="40">
      <c r="A40" s="2" t="inlineStr">
        <is>
          <t>Generator slip ring assembly</t>
        </is>
      </c>
      <c r="B40" s="2" t="inlineStr">
        <is>
          <t>GS-SR-22</t>
        </is>
      </c>
      <c r="C40" s="2" t="inlineStr">
        <is>
          <t>Glenquey</t>
        </is>
      </c>
      <c r="D40" s="2" t="inlineStr">
        <is>
          <t>OEM regional store</t>
        </is>
      </c>
      <c r="E40" s="2" t="n">
        <v>5</v>
      </c>
      <c r="F40" s="2" t="n">
        <v>2</v>
      </c>
      <c r="G40" s="3" t="n">
        <v>7600</v>
      </c>
      <c r="H40" s="3">
        <f>E40*G40</f>
        <v/>
      </c>
      <c r="I40" s="2" t="inlineStr">
        <is>
          <t>B</t>
        </is>
      </c>
      <c r="J40" s="2" t="n">
        <v>12</v>
      </c>
      <c r="K40" s="2">
        <f>IF(E40&lt;F40,"REORDER","")</f>
        <v/>
      </c>
    </row>
    <row r="41">
      <c r="A41" s="4" t="inlineStr">
        <is>
          <t>Gearbox oil filter element</t>
        </is>
      </c>
      <c r="B41" s="4" t="inlineStr">
        <is>
          <t>GB-OF-310</t>
        </is>
      </c>
      <c r="C41" s="4" t="inlineStr">
        <is>
          <t>Glenquey</t>
        </is>
      </c>
      <c r="D41" s="4" t="inlineStr">
        <is>
          <t>OEM regional store</t>
        </is>
      </c>
      <c r="E41" s="4" t="n">
        <v>12</v>
      </c>
      <c r="F41" s="4" t="n">
        <v>6</v>
      </c>
      <c r="G41" s="5" t="n">
        <v>165</v>
      </c>
      <c r="H41" s="5">
        <f>E41*G41</f>
        <v/>
      </c>
      <c r="I41" s="4" t="inlineStr">
        <is>
          <t>C</t>
        </is>
      </c>
      <c r="J41" s="4" t="n">
        <v>2</v>
      </c>
      <c r="K41" s="4">
        <f>IF(E41&lt;F41,"REORDER","")</f>
        <v/>
      </c>
    </row>
    <row r="42">
      <c r="A42" s="2" t="inlineStr">
        <is>
          <t>HSS bearing set</t>
        </is>
      </c>
      <c r="B42" s="2" t="inlineStr">
        <is>
          <t>GB-HSS-BRG</t>
        </is>
      </c>
      <c r="C42" s="2" t="inlineStr">
        <is>
          <t>Glenquey</t>
        </is>
      </c>
      <c r="D42" s="2" t="inlineStr">
        <is>
          <t>OEM regional store</t>
        </is>
      </c>
      <c r="E42" s="2" t="n">
        <v>4</v>
      </c>
      <c r="F42" s="2" t="n">
        <v>1</v>
      </c>
      <c r="G42" s="3" t="n">
        <v>11200</v>
      </c>
      <c r="H42" s="3">
        <f>E42*G42</f>
        <v/>
      </c>
      <c r="I42" s="2" t="inlineStr">
        <is>
          <t>A</t>
        </is>
      </c>
      <c r="J42" s="2" t="n">
        <v>22</v>
      </c>
      <c r="K42" s="2">
        <f>IF(E42&lt;F42,"REORDER","")</f>
        <v/>
      </c>
    </row>
    <row r="43">
      <c r="A43" s="4" t="inlineStr">
        <is>
          <t>Nacelle cooling fan motor</t>
        </is>
      </c>
      <c r="B43" s="4" t="inlineStr">
        <is>
          <t>NC-FAN-55</t>
        </is>
      </c>
      <c r="C43" s="4" t="inlineStr">
        <is>
          <t>Glenquey</t>
        </is>
      </c>
      <c r="D43" s="4" t="inlineStr">
        <is>
          <t>OEM regional store</t>
        </is>
      </c>
      <c r="E43" s="4" t="n">
        <v>1</v>
      </c>
      <c r="F43" s="4" t="n">
        <v>2</v>
      </c>
      <c r="G43" s="5" t="n">
        <v>1900</v>
      </c>
      <c r="H43" s="5">
        <f>E43*G43</f>
        <v/>
      </c>
      <c r="I43" s="4" t="inlineStr">
        <is>
          <t>B</t>
        </is>
      </c>
      <c r="J43" s="4" t="n">
        <v>6</v>
      </c>
      <c r="K43" s="4">
        <f>IF(E43&lt;F43,"REORDER","")</f>
        <v/>
      </c>
    </row>
    <row r="44">
      <c r="A44" s="2" t="inlineStr">
        <is>
          <t>Anemometer heated ultrasonic</t>
        </is>
      </c>
      <c r="B44" s="2" t="inlineStr">
        <is>
          <t>MET-US-02</t>
        </is>
      </c>
      <c r="C44" s="2" t="inlineStr">
        <is>
          <t>Glenquey</t>
        </is>
      </c>
      <c r="D44" s="2" t="inlineStr">
        <is>
          <t>OEM regional store</t>
        </is>
      </c>
      <c r="E44" s="2" t="n">
        <v>5</v>
      </c>
      <c r="F44" s="2" t="n">
        <v>2</v>
      </c>
      <c r="G44" s="3" t="n">
        <v>2100</v>
      </c>
      <c r="H44" s="3">
        <f>E44*G44</f>
        <v/>
      </c>
      <c r="I44" s="2" t="inlineStr">
        <is>
          <t>B</t>
        </is>
      </c>
      <c r="J44" s="2" t="n">
        <v>5</v>
      </c>
      <c r="K44" s="2">
        <f>IF(E44&lt;F44,"REORDER","")</f>
        <v/>
      </c>
    </row>
    <row r="45">
      <c r="A45" s="4" t="inlineStr">
        <is>
          <t>Fall arrest runner</t>
        </is>
      </c>
      <c r="B45" s="4" t="inlineStr">
        <is>
          <t>FA-RUN-03</t>
        </is>
      </c>
      <c r="C45" s="4" t="inlineStr">
        <is>
          <t>Glenquey</t>
        </is>
      </c>
      <c r="D45" s="4" t="inlineStr">
        <is>
          <t>OEM regional store</t>
        </is>
      </c>
      <c r="E45" s="4" t="n">
        <v>15</v>
      </c>
      <c r="F45" s="4" t="n">
        <v>6</v>
      </c>
      <c r="G45" s="5" t="n">
        <v>320</v>
      </c>
      <c r="H45" s="5">
        <f>E45*G45</f>
        <v/>
      </c>
      <c r="I45" s="4" t="inlineStr">
        <is>
          <t>C</t>
        </is>
      </c>
      <c r="J45" s="4" t="n">
        <v>2</v>
      </c>
      <c r="K45" s="4">
        <f>IF(E45&lt;F45,"REORDER","")</f>
        <v/>
      </c>
    </row>
    <row r="46">
      <c r="A46" s="2" t="inlineStr">
        <is>
          <t>33 kV cable termination kit</t>
        </is>
      </c>
      <c r="B46" s="2" t="inlineStr">
        <is>
          <t>HV-TERM-33</t>
        </is>
      </c>
      <c r="C46" s="2" t="inlineStr">
        <is>
          <t>Glenquey</t>
        </is>
      </c>
      <c r="D46" s="2" t="inlineStr">
        <is>
          <t>OEM regional store</t>
        </is>
      </c>
      <c r="E46" s="2" t="n">
        <v>3</v>
      </c>
      <c r="F46" s="2" t="n">
        <v>2</v>
      </c>
      <c r="G46" s="3" t="n">
        <v>690</v>
      </c>
      <c r="H46" s="3">
        <f>E46*G46</f>
        <v/>
      </c>
      <c r="I46" s="2" t="inlineStr">
        <is>
          <t>B</t>
        </is>
      </c>
      <c r="J46" s="2" t="n">
        <v>4</v>
      </c>
      <c r="K46" s="2">
        <f>IF(E46&lt;F46,"REORDER","")</f>
        <v/>
      </c>
    </row>
    <row r="47">
      <c r="A47" s="4" t="inlineStr">
        <is>
          <t>Surge arrester 33 kV</t>
        </is>
      </c>
      <c r="B47" s="4" t="inlineStr">
        <is>
          <t>HV-SA-33</t>
        </is>
      </c>
      <c r="C47" s="4" t="inlineStr">
        <is>
          <t>Glenquey</t>
        </is>
      </c>
      <c r="D47" s="4" t="inlineStr">
        <is>
          <t>OEM regional store</t>
        </is>
      </c>
      <c r="E47" s="4" t="n">
        <v>5</v>
      </c>
      <c r="F47" s="4" t="n">
        <v>2</v>
      </c>
      <c r="G47" s="5" t="n">
        <v>540</v>
      </c>
      <c r="H47" s="5">
        <f>E47*G47</f>
        <v/>
      </c>
      <c r="I47" s="4" t="inlineStr">
        <is>
          <t>B</t>
        </is>
      </c>
      <c r="J47" s="4" t="n">
        <v>6</v>
      </c>
      <c r="K47" s="4">
        <f>IF(E47&lt;F47,"REORDER","")</f>
        <v/>
      </c>
    </row>
    <row r="48">
      <c r="A48" s="2" t="inlineStr">
        <is>
          <t>Pitch motor 4.2 MW</t>
        </is>
      </c>
      <c r="B48" s="2" t="inlineStr">
        <is>
          <t>PM-42-110</t>
        </is>
      </c>
      <c r="C48" s="2" t="inlineStr">
        <is>
          <t>Nordheide</t>
        </is>
      </c>
      <c r="D48" s="2" t="inlineStr">
        <is>
          <t>Husum central store</t>
        </is>
      </c>
      <c r="E48" s="2" t="n">
        <v>2</v>
      </c>
      <c r="F48" s="2" t="n">
        <v>1</v>
      </c>
      <c r="G48" s="3" t="n">
        <v>6800</v>
      </c>
      <c r="H48" s="3">
        <f>E48*G48</f>
        <v/>
      </c>
      <c r="I48" s="2" t="inlineStr">
        <is>
          <t>A</t>
        </is>
      </c>
      <c r="J48" s="2" t="n">
        <v>14</v>
      </c>
      <c r="K48" s="2">
        <f>IF(E48&lt;F48,"REORDER","")</f>
        <v/>
      </c>
    </row>
    <row r="49">
      <c r="A49" s="4" t="inlineStr">
        <is>
          <t>IGBT converter module</t>
        </is>
      </c>
      <c r="B49" s="4" t="inlineStr">
        <is>
          <t>CV-IGBT-1700</t>
        </is>
      </c>
      <c r="C49" s="4" t="inlineStr">
        <is>
          <t>Nordheide</t>
        </is>
      </c>
      <c r="D49" s="4" t="inlineStr">
        <is>
          <t>Husum central store</t>
        </is>
      </c>
      <c r="E49" s="4" t="n">
        <v>4</v>
      </c>
      <c r="F49" s="4" t="n">
        <v>1</v>
      </c>
      <c r="G49" s="5" t="n">
        <v>9200</v>
      </c>
      <c r="H49" s="5">
        <f>E49*G49</f>
        <v/>
      </c>
      <c r="I49" s="4" t="inlineStr">
        <is>
          <t>A</t>
        </is>
      </c>
      <c r="J49" s="4" t="n">
        <v>18</v>
      </c>
      <c r="K49" s="4">
        <f>IF(E49&lt;F49,"REORDER","")</f>
        <v/>
      </c>
    </row>
    <row r="50">
      <c r="A50" s="2" t="inlineStr">
        <is>
          <t>Yaw brake pad set</t>
        </is>
      </c>
      <c r="B50" s="2" t="inlineStr">
        <is>
          <t>YB-PAD-12</t>
        </is>
      </c>
      <c r="C50" s="2" t="inlineStr">
        <is>
          <t>Nordheide</t>
        </is>
      </c>
      <c r="D50" s="2" t="inlineStr">
        <is>
          <t>Husum central store</t>
        </is>
      </c>
      <c r="E50" s="2" t="n">
        <v>9</v>
      </c>
      <c r="F50" s="2" t="n">
        <v>6</v>
      </c>
      <c r="G50" s="3" t="n">
        <v>380</v>
      </c>
      <c r="H50" s="3">
        <f>E50*G50</f>
        <v/>
      </c>
      <c r="I50" s="2" t="inlineStr">
        <is>
          <t>C</t>
        </is>
      </c>
      <c r="J50" s="2" t="n">
        <v>4</v>
      </c>
      <c r="K50" s="2">
        <f>IF(E50&lt;F50,"REORDER","")</f>
        <v/>
      </c>
    </row>
    <row r="51">
      <c r="A51" s="4" t="inlineStr">
        <is>
          <t>Yaw drive gearbox</t>
        </is>
      </c>
      <c r="B51" s="4" t="inlineStr">
        <is>
          <t>YD-GB-04</t>
        </is>
      </c>
      <c r="C51" s="4" t="inlineStr">
        <is>
          <t>Nordheide</t>
        </is>
      </c>
      <c r="D51" s="4" t="inlineStr">
        <is>
          <t>Husum central store</t>
        </is>
      </c>
      <c r="E51" s="4" t="n">
        <v>0</v>
      </c>
      <c r="F51" s="4" t="n">
        <v>1</v>
      </c>
      <c r="G51" s="5" t="n">
        <v>12400</v>
      </c>
      <c r="H51" s="5">
        <f>E51*G51</f>
        <v/>
      </c>
      <c r="I51" s="4" t="inlineStr">
        <is>
          <t>A</t>
        </is>
      </c>
      <c r="J51" s="4" t="n">
        <v>20</v>
      </c>
      <c r="K51" s="4">
        <f>IF(E51&lt;F51,"REORDER","")</f>
        <v/>
      </c>
    </row>
    <row r="52">
      <c r="A52" s="2" t="inlineStr">
        <is>
          <t>Generator slip ring assembly</t>
        </is>
      </c>
      <c r="B52" s="2" t="inlineStr">
        <is>
          <t>GS-SR-22</t>
        </is>
      </c>
      <c r="C52" s="2" t="inlineStr">
        <is>
          <t>Nordheide</t>
        </is>
      </c>
      <c r="D52" s="2" t="inlineStr">
        <is>
          <t>Husum central store</t>
        </is>
      </c>
      <c r="E52" s="2" t="n">
        <v>5</v>
      </c>
      <c r="F52" s="2" t="n">
        <v>2</v>
      </c>
      <c r="G52" s="3" t="n">
        <v>7600</v>
      </c>
      <c r="H52" s="3">
        <f>E52*G52</f>
        <v/>
      </c>
      <c r="I52" s="2" t="inlineStr">
        <is>
          <t>B</t>
        </is>
      </c>
      <c r="J52" s="2" t="n">
        <v>12</v>
      </c>
      <c r="K52" s="2">
        <f>IF(E52&lt;F52,"REORDER","")</f>
        <v/>
      </c>
    </row>
    <row r="53">
      <c r="A53" s="4" t="inlineStr">
        <is>
          <t>ISS bearing (rotor side)</t>
        </is>
      </c>
      <c r="B53" s="4" t="inlineStr">
        <is>
          <t>GB-ISS-BRG-R</t>
        </is>
      </c>
      <c r="C53" s="4" t="inlineStr">
        <is>
          <t>Nordheide</t>
        </is>
      </c>
      <c r="D53" s="4" t="inlineStr">
        <is>
          <t>Husum central store</t>
        </is>
      </c>
      <c r="E53" s="4" t="n">
        <v>1</v>
      </c>
      <c r="F53" s="4" t="n">
        <v>1</v>
      </c>
      <c r="G53" s="5" t="n">
        <v>18600</v>
      </c>
      <c r="H53" s="5">
        <f>E53*G53</f>
        <v/>
      </c>
      <c r="I53" s="4" t="inlineStr">
        <is>
          <t>A</t>
        </is>
      </c>
      <c r="J53" s="4" t="n">
        <v>26</v>
      </c>
      <c r="K53" s="4">
        <f>IF(E53&lt;F53,"REORDER","")</f>
        <v/>
      </c>
    </row>
    <row r="54">
      <c r="A54" s="2" t="inlineStr">
        <is>
          <t>HSS bearing set</t>
        </is>
      </c>
      <c r="B54" s="2" t="inlineStr">
        <is>
          <t>GB-HSS-BRG</t>
        </is>
      </c>
      <c r="C54" s="2" t="inlineStr">
        <is>
          <t>Nordheide</t>
        </is>
      </c>
      <c r="D54" s="2" t="inlineStr">
        <is>
          <t>Husum central store</t>
        </is>
      </c>
      <c r="E54" s="2" t="n">
        <v>0</v>
      </c>
      <c r="F54" s="2" t="n">
        <v>1</v>
      </c>
      <c r="G54" s="3" t="n">
        <v>11200</v>
      </c>
      <c r="H54" s="3">
        <f>E54*G54</f>
        <v/>
      </c>
      <c r="I54" s="2" t="inlineStr">
        <is>
          <t>A</t>
        </is>
      </c>
      <c r="J54" s="2" t="n">
        <v>22</v>
      </c>
      <c r="K54" s="2">
        <f>IF(E54&lt;F54,"REORDER","")</f>
        <v/>
      </c>
    </row>
    <row r="55">
      <c r="A55" s="4" t="inlineStr">
        <is>
          <t>Main shaft temperature sensor</t>
        </is>
      </c>
      <c r="B55" s="4" t="inlineStr">
        <is>
          <t>MS-TS-01</t>
        </is>
      </c>
      <c r="C55" s="4" t="inlineStr">
        <is>
          <t>Nordheide</t>
        </is>
      </c>
      <c r="D55" s="4" t="inlineStr">
        <is>
          <t>Husum central store</t>
        </is>
      </c>
      <c r="E55" s="4" t="n">
        <v>3</v>
      </c>
      <c r="F55" s="4" t="n">
        <v>6</v>
      </c>
      <c r="G55" s="5" t="n">
        <v>140</v>
      </c>
      <c r="H55" s="5">
        <f>E55*G55</f>
        <v/>
      </c>
      <c r="I55" s="4" t="inlineStr">
        <is>
          <t>C</t>
        </is>
      </c>
      <c r="J55" s="4" t="n">
        <v>2</v>
      </c>
      <c r="K55" s="4">
        <f>IF(E55&lt;F55,"REORDER","")</f>
        <v/>
      </c>
    </row>
    <row r="56">
      <c r="A56" s="2" t="inlineStr">
        <is>
          <t>Service lift wire rope 120 m</t>
        </is>
      </c>
      <c r="B56" s="2" t="inlineStr">
        <is>
          <t>SL-WR-120</t>
        </is>
      </c>
      <c r="C56" s="2" t="inlineStr">
        <is>
          <t>Nordheide</t>
        </is>
      </c>
      <c r="D56" s="2" t="inlineStr">
        <is>
          <t>Husum central store</t>
        </is>
      </c>
      <c r="E56" s="2" t="n">
        <v>3</v>
      </c>
      <c r="F56" s="2" t="n">
        <v>2</v>
      </c>
      <c r="G56" s="3" t="n">
        <v>980</v>
      </c>
      <c r="H56" s="3">
        <f>E56*G56</f>
        <v/>
      </c>
      <c r="I56" s="2" t="inlineStr">
        <is>
          <t>B</t>
        </is>
      </c>
      <c r="J56" s="2" t="n">
        <v>4</v>
      </c>
      <c r="K56" s="2">
        <f>IF(E56&lt;F56,"REORDER","")</f>
        <v/>
      </c>
    </row>
    <row r="57">
      <c r="A57" s="4" t="inlineStr">
        <is>
          <t>Fall arrest runner</t>
        </is>
      </c>
      <c r="B57" s="4" t="inlineStr">
        <is>
          <t>FA-RUN-03</t>
        </is>
      </c>
      <c r="C57" s="4" t="inlineStr">
        <is>
          <t>Nordheide</t>
        </is>
      </c>
      <c r="D57" s="4" t="inlineStr">
        <is>
          <t>Husum central store</t>
        </is>
      </c>
      <c r="E57" s="4" t="n">
        <v>6</v>
      </c>
      <c r="F57" s="4" t="n">
        <v>6</v>
      </c>
      <c r="G57" s="5" t="n">
        <v>320</v>
      </c>
      <c r="H57" s="5">
        <f>E57*G57</f>
        <v/>
      </c>
      <c r="I57" s="4" t="inlineStr">
        <is>
          <t>C</t>
        </is>
      </c>
      <c r="J57" s="4" t="n">
        <v>2</v>
      </c>
      <c r="K57" s="4">
        <f>IF(E57&lt;F57,"REORDER","")</f>
        <v/>
      </c>
    </row>
    <row r="58">
      <c r="A58" s="2" t="inlineStr">
        <is>
          <t>Tower base controller PLC</t>
        </is>
      </c>
      <c r="B58" s="2" t="inlineStr">
        <is>
          <t>TBC-PLC-9</t>
        </is>
      </c>
      <c r="C58" s="2" t="inlineStr">
        <is>
          <t>Nordheide</t>
        </is>
      </c>
      <c r="D58" s="2" t="inlineStr">
        <is>
          <t>Husum central store</t>
        </is>
      </c>
      <c r="E58" s="2" t="n">
        <v>4</v>
      </c>
      <c r="F58" s="2" t="n">
        <v>1</v>
      </c>
      <c r="G58" s="3" t="n">
        <v>4300</v>
      </c>
      <c r="H58" s="3">
        <f>E58*G58</f>
        <v/>
      </c>
      <c r="I58" s="2" t="inlineStr">
        <is>
          <t>A</t>
        </is>
      </c>
      <c r="J58" s="2" t="n">
        <v>16</v>
      </c>
      <c r="K58" s="2">
        <f>IF(E58&lt;F58,"REORDER","")</f>
        <v/>
      </c>
    </row>
    <row r="59">
      <c r="A59" s="4" t="inlineStr">
        <is>
          <t>33 kV cable termination kit</t>
        </is>
      </c>
      <c r="B59" s="4" t="inlineStr">
        <is>
          <t>HV-TERM-33</t>
        </is>
      </c>
      <c r="C59" s="4" t="inlineStr">
        <is>
          <t>Nordheide</t>
        </is>
      </c>
      <c r="D59" s="4" t="inlineStr">
        <is>
          <t>Husum central store</t>
        </is>
      </c>
      <c r="E59" s="4" t="n">
        <v>1</v>
      </c>
      <c r="F59" s="4" t="n">
        <v>2</v>
      </c>
      <c r="G59" s="5" t="n">
        <v>690</v>
      </c>
      <c r="H59" s="5">
        <f>E59*G59</f>
        <v/>
      </c>
      <c r="I59" s="4" t="inlineStr">
        <is>
          <t>B</t>
        </is>
      </c>
      <c r="J59" s="4" t="n">
        <v>4</v>
      </c>
      <c r="K59" s="4">
        <f>IF(E59&lt;F59,"REORDER","")</f>
        <v/>
      </c>
    </row>
    <row r="60">
      <c r="A60" s="2" t="inlineStr">
        <is>
          <t>Surge arrester 33 kV</t>
        </is>
      </c>
      <c r="B60" s="2" t="inlineStr">
        <is>
          <t>HV-SA-33</t>
        </is>
      </c>
      <c r="C60" s="2" t="inlineStr">
        <is>
          <t>Nordheide</t>
        </is>
      </c>
      <c r="D60" s="2" t="inlineStr">
        <is>
          <t>Husum central store</t>
        </is>
      </c>
      <c r="E60" s="2" t="n">
        <v>5</v>
      </c>
      <c r="F60" s="2" t="n">
        <v>2</v>
      </c>
      <c r="G60" s="3" t="n">
        <v>540</v>
      </c>
      <c r="H60" s="3">
        <f>E60*G60</f>
        <v/>
      </c>
      <c r="I60" s="2" t="inlineStr">
        <is>
          <t>B</t>
        </is>
      </c>
      <c r="J60" s="2" t="n">
        <v>6</v>
      </c>
      <c r="K60" s="2">
        <f>IF(E60&lt;F60,"REORDER","")</f>
        <v/>
      </c>
    </row>
    <row r="61">
      <c r="A61" s="4" t="inlineStr">
        <is>
          <t>Yaw brake pad set</t>
        </is>
      </c>
      <c r="B61" s="4" t="inlineStr">
        <is>
          <t>YB-PAD-12</t>
        </is>
      </c>
      <c r="C61" s="4" t="inlineStr">
        <is>
          <t>Wesermarsch</t>
        </is>
      </c>
      <c r="D61" s="4" t="inlineStr">
        <is>
          <t>Husum central store</t>
        </is>
      </c>
      <c r="E61" s="4" t="n">
        <v>3</v>
      </c>
      <c r="F61" s="4" t="n">
        <v>6</v>
      </c>
      <c r="G61" s="5" t="n">
        <v>380</v>
      </c>
      <c r="H61" s="5">
        <f>E61*G61</f>
        <v/>
      </c>
      <c r="I61" s="4" t="inlineStr">
        <is>
          <t>C</t>
        </is>
      </c>
      <c r="J61" s="4" t="n">
        <v>4</v>
      </c>
      <c r="K61" s="4">
        <f>IF(E61&lt;F61,"REORDER","")</f>
        <v/>
      </c>
    </row>
    <row r="62">
      <c r="A62" s="2" t="inlineStr">
        <is>
          <t>Yaw drive gearbox</t>
        </is>
      </c>
      <c r="B62" s="2" t="inlineStr">
        <is>
          <t>YD-GB-04</t>
        </is>
      </c>
      <c r="C62" s="2" t="inlineStr">
        <is>
          <t>Wesermarsch</t>
        </is>
      </c>
      <c r="D62" s="2" t="inlineStr">
        <is>
          <t>Husum central store</t>
        </is>
      </c>
      <c r="E62" s="2" t="n">
        <v>4</v>
      </c>
      <c r="F62" s="2" t="n">
        <v>1</v>
      </c>
      <c r="G62" s="3" t="n">
        <v>12400</v>
      </c>
      <c r="H62" s="3">
        <f>E62*G62</f>
        <v/>
      </c>
      <c r="I62" s="2" t="inlineStr">
        <is>
          <t>A</t>
        </is>
      </c>
      <c r="J62" s="2" t="n">
        <v>20</v>
      </c>
      <c r="K62" s="2">
        <f>IF(E62&lt;F62,"REORDER","")</f>
        <v/>
      </c>
    </row>
    <row r="63">
      <c r="A63" s="4" t="inlineStr">
        <is>
          <t>Generator slip ring assembly</t>
        </is>
      </c>
      <c r="B63" s="4" t="inlineStr">
        <is>
          <t>GS-SR-22</t>
        </is>
      </c>
      <c r="C63" s="4" t="inlineStr">
        <is>
          <t>Wesermarsch</t>
        </is>
      </c>
      <c r="D63" s="4" t="inlineStr">
        <is>
          <t>Husum central store</t>
        </is>
      </c>
      <c r="E63" s="4" t="n">
        <v>1</v>
      </c>
      <c r="F63" s="4" t="n">
        <v>2</v>
      </c>
      <c r="G63" s="5" t="n">
        <v>7600</v>
      </c>
      <c r="H63" s="5">
        <f>E63*G63</f>
        <v/>
      </c>
      <c r="I63" s="4" t="inlineStr">
        <is>
          <t>B</t>
        </is>
      </c>
      <c r="J63" s="4" t="n">
        <v>12</v>
      </c>
      <c r="K63" s="4">
        <f>IF(E63&lt;F63,"REORDER","")</f>
        <v/>
      </c>
    </row>
    <row r="64">
      <c r="A64" s="2" t="inlineStr">
        <is>
          <t>ISS bearing (rotor side)</t>
        </is>
      </c>
      <c r="B64" s="2" t="inlineStr">
        <is>
          <t>GB-ISS-BRG-R</t>
        </is>
      </c>
      <c r="C64" s="2" t="inlineStr">
        <is>
          <t>Wesermarsch</t>
        </is>
      </c>
      <c r="D64" s="2" t="inlineStr">
        <is>
          <t>Husum central store</t>
        </is>
      </c>
      <c r="E64" s="2" t="n">
        <v>0</v>
      </c>
      <c r="F64" s="2" t="n">
        <v>1</v>
      </c>
      <c r="G64" s="3" t="n">
        <v>18600</v>
      </c>
      <c r="H64" s="3">
        <f>E64*G64</f>
        <v/>
      </c>
      <c r="I64" s="2" t="inlineStr">
        <is>
          <t>A</t>
        </is>
      </c>
      <c r="J64" s="2" t="n">
        <v>26</v>
      </c>
      <c r="K64" s="2">
        <f>IF(E64&lt;F64,"REORDER","")</f>
        <v/>
      </c>
    </row>
    <row r="65">
      <c r="A65" s="4" t="inlineStr">
        <is>
          <t>Nacelle cooling fan motor</t>
        </is>
      </c>
      <c r="B65" s="4" t="inlineStr">
        <is>
          <t>NC-FAN-55</t>
        </is>
      </c>
      <c r="C65" s="4" t="inlineStr">
        <is>
          <t>Wesermarsch</t>
        </is>
      </c>
      <c r="D65" s="4" t="inlineStr">
        <is>
          <t>Husum central store</t>
        </is>
      </c>
      <c r="E65" s="4" t="n">
        <v>1</v>
      </c>
      <c r="F65" s="4" t="n">
        <v>2</v>
      </c>
      <c r="G65" s="5" t="n">
        <v>1900</v>
      </c>
      <c r="H65" s="5">
        <f>E65*G65</f>
        <v/>
      </c>
      <c r="I65" s="4" t="inlineStr">
        <is>
          <t>B</t>
        </is>
      </c>
      <c r="J65" s="4" t="n">
        <v>6</v>
      </c>
      <c r="K65" s="4">
        <f>IF(E65&lt;F65,"REORDER","")</f>
        <v/>
      </c>
    </row>
    <row r="66">
      <c r="A66" s="2" t="inlineStr">
        <is>
          <t>Anemometer heated ultrasonic</t>
        </is>
      </c>
      <c r="B66" s="2" t="inlineStr">
        <is>
          <t>MET-US-02</t>
        </is>
      </c>
      <c r="C66" s="2" t="inlineStr">
        <is>
          <t>Wesermarsch</t>
        </is>
      </c>
      <c r="D66" s="2" t="inlineStr">
        <is>
          <t>Husum central store</t>
        </is>
      </c>
      <c r="E66" s="2" t="n">
        <v>2</v>
      </c>
      <c r="F66" s="2" t="n">
        <v>2</v>
      </c>
      <c r="G66" s="3" t="n">
        <v>2100</v>
      </c>
      <c r="H66" s="3">
        <f>E66*G66</f>
        <v/>
      </c>
      <c r="I66" s="2" t="inlineStr">
        <is>
          <t>B</t>
        </is>
      </c>
      <c r="J66" s="2" t="n">
        <v>5</v>
      </c>
      <c r="K66" s="2">
        <f>IF(E66&lt;F66,"REORDER","")</f>
        <v/>
      </c>
    </row>
    <row r="67">
      <c r="A67" s="4" t="inlineStr">
        <is>
          <t>Aviation light LED unit</t>
        </is>
      </c>
      <c r="B67" s="4" t="inlineStr">
        <is>
          <t>AV-LED-2000</t>
        </is>
      </c>
      <c r="C67" s="4" t="inlineStr">
        <is>
          <t>Wesermarsch</t>
        </is>
      </c>
      <c r="D67" s="4" t="inlineStr">
        <is>
          <t>Husum central store</t>
        </is>
      </c>
      <c r="E67" s="4" t="n">
        <v>4</v>
      </c>
      <c r="F67" s="4" t="n">
        <v>2</v>
      </c>
      <c r="G67" s="5" t="n">
        <v>860</v>
      </c>
      <c r="H67" s="5">
        <f>E67*G67</f>
        <v/>
      </c>
      <c r="I67" s="4" t="inlineStr">
        <is>
          <t>B</t>
        </is>
      </c>
      <c r="J67" s="4" t="n">
        <v>6</v>
      </c>
      <c r="K67" s="4">
        <f>IF(E67&lt;F67,"REORDER","")</f>
        <v/>
      </c>
    </row>
    <row r="68">
      <c r="A68" s="2" t="inlineStr">
        <is>
          <t>Pitch motor 4.2 MW</t>
        </is>
      </c>
      <c r="B68" s="2" t="inlineStr">
        <is>
          <t>PM-42-110</t>
        </is>
      </c>
      <c r="C68" s="2" t="inlineStr">
        <is>
          <t>Ostholstein</t>
        </is>
      </c>
      <c r="D68" s="2" t="inlineStr">
        <is>
          <t>Husum central store</t>
        </is>
      </c>
      <c r="E68" s="2" t="n">
        <v>3</v>
      </c>
      <c r="F68" s="2" t="n">
        <v>1</v>
      </c>
      <c r="G68" s="3" t="n">
        <v>6800</v>
      </c>
      <c r="H68" s="3">
        <f>E68*G68</f>
        <v/>
      </c>
      <c r="I68" s="2" t="inlineStr">
        <is>
          <t>A</t>
        </is>
      </c>
      <c r="J68" s="2" t="n">
        <v>14</v>
      </c>
      <c r="K68" s="2">
        <f>IF(E68&lt;F68,"REORDER","")</f>
        <v/>
      </c>
    </row>
    <row r="69">
      <c r="A69" s="4" t="inlineStr">
        <is>
          <t>IGBT converter module</t>
        </is>
      </c>
      <c r="B69" s="4" t="inlineStr">
        <is>
          <t>CV-IGBT-1700</t>
        </is>
      </c>
      <c r="C69" s="4" t="inlineStr">
        <is>
          <t>Ostholstein</t>
        </is>
      </c>
      <c r="D69" s="4" t="inlineStr">
        <is>
          <t>Husum central store</t>
        </is>
      </c>
      <c r="E69" s="4" t="n">
        <v>4</v>
      </c>
      <c r="F69" s="4" t="n">
        <v>1</v>
      </c>
      <c r="G69" s="5" t="n">
        <v>9200</v>
      </c>
      <c r="H69" s="5">
        <f>E69*G69</f>
        <v/>
      </c>
      <c r="I69" s="4" t="inlineStr">
        <is>
          <t>A</t>
        </is>
      </c>
      <c r="J69" s="4" t="n">
        <v>18</v>
      </c>
      <c r="K69" s="4">
        <f>IF(E69&lt;F69,"REORDER","")</f>
        <v/>
      </c>
    </row>
    <row r="70">
      <c r="A70" s="2" t="inlineStr">
        <is>
          <t>Yaw brake pad set</t>
        </is>
      </c>
      <c r="B70" s="2" t="inlineStr">
        <is>
          <t>YB-PAD-12</t>
        </is>
      </c>
      <c r="C70" s="2" t="inlineStr">
        <is>
          <t>Ostholstein</t>
        </is>
      </c>
      <c r="D70" s="2" t="inlineStr">
        <is>
          <t>Husum central store</t>
        </is>
      </c>
      <c r="E70" s="2" t="n">
        <v>3</v>
      </c>
      <c r="F70" s="2" t="n">
        <v>6</v>
      </c>
      <c r="G70" s="3" t="n">
        <v>380</v>
      </c>
      <c r="H70" s="3">
        <f>E70*G70</f>
        <v/>
      </c>
      <c r="I70" s="2" t="inlineStr">
        <is>
          <t>C</t>
        </is>
      </c>
      <c r="J70" s="2" t="n">
        <v>4</v>
      </c>
      <c r="K70" s="2">
        <f>IF(E70&lt;F70,"REORDER","")</f>
        <v/>
      </c>
    </row>
    <row r="71">
      <c r="A71" s="4" t="inlineStr">
        <is>
          <t>Yaw drive gearbox</t>
        </is>
      </c>
      <c r="B71" s="4" t="inlineStr">
        <is>
          <t>YD-GB-04</t>
        </is>
      </c>
      <c r="C71" s="4" t="inlineStr">
        <is>
          <t>Ostholstein</t>
        </is>
      </c>
      <c r="D71" s="4" t="inlineStr">
        <is>
          <t>Husum central store</t>
        </is>
      </c>
      <c r="E71" s="4" t="n">
        <v>3</v>
      </c>
      <c r="F71" s="4" t="n">
        <v>1</v>
      </c>
      <c r="G71" s="5" t="n">
        <v>12400</v>
      </c>
      <c r="H71" s="5">
        <f>E71*G71</f>
        <v/>
      </c>
      <c r="I71" s="4" t="inlineStr">
        <is>
          <t>A</t>
        </is>
      </c>
      <c r="J71" s="4" t="n">
        <v>20</v>
      </c>
      <c r="K71" s="4">
        <f>IF(E71&lt;F71,"REORDER","")</f>
        <v/>
      </c>
    </row>
    <row r="72">
      <c r="A72" s="2" t="inlineStr">
        <is>
          <t>Generator slip ring assembly</t>
        </is>
      </c>
      <c r="B72" s="2" t="inlineStr">
        <is>
          <t>GS-SR-22</t>
        </is>
      </c>
      <c r="C72" s="2" t="inlineStr">
        <is>
          <t>Ostholstein</t>
        </is>
      </c>
      <c r="D72" s="2" t="inlineStr">
        <is>
          <t>Husum central store</t>
        </is>
      </c>
      <c r="E72" s="2" t="n">
        <v>4</v>
      </c>
      <c r="F72" s="2" t="n">
        <v>2</v>
      </c>
      <c r="G72" s="3" t="n">
        <v>7600</v>
      </c>
      <c r="H72" s="3">
        <f>E72*G72</f>
        <v/>
      </c>
      <c r="I72" s="2" t="inlineStr">
        <is>
          <t>B</t>
        </is>
      </c>
      <c r="J72" s="2" t="n">
        <v>12</v>
      </c>
      <c r="K72" s="2">
        <f>IF(E72&lt;F72,"REORDER","")</f>
        <v/>
      </c>
    </row>
    <row r="73">
      <c r="A73" s="4" t="inlineStr">
        <is>
          <t>Carbon brush set</t>
        </is>
      </c>
      <c r="B73" s="4" t="inlineStr">
        <is>
          <t>GS-CB-06</t>
        </is>
      </c>
      <c r="C73" s="4" t="inlineStr">
        <is>
          <t>Ostholstein</t>
        </is>
      </c>
      <c r="D73" s="4" t="inlineStr">
        <is>
          <t>Husum central store</t>
        </is>
      </c>
      <c r="E73" s="4" t="n">
        <v>3</v>
      </c>
      <c r="F73" s="4" t="n">
        <v>6</v>
      </c>
      <c r="G73" s="5" t="n">
        <v>210</v>
      </c>
      <c r="H73" s="5">
        <f>E73*G73</f>
        <v/>
      </c>
      <c r="I73" s="4" t="inlineStr">
        <is>
          <t>C</t>
        </is>
      </c>
      <c r="J73" s="4" t="n">
        <v>3</v>
      </c>
      <c r="K73" s="4">
        <f>IF(E73&lt;F73,"REORDER","")</f>
        <v/>
      </c>
    </row>
    <row r="74">
      <c r="A74" s="2" t="inlineStr">
        <is>
          <t>Nacelle cooling fan motor</t>
        </is>
      </c>
      <c r="B74" s="2" t="inlineStr">
        <is>
          <t>NC-FAN-55</t>
        </is>
      </c>
      <c r="C74" s="2" t="inlineStr">
        <is>
          <t>Ostholstein</t>
        </is>
      </c>
      <c r="D74" s="2" t="inlineStr">
        <is>
          <t>Husum central store</t>
        </is>
      </c>
      <c r="E74" s="2" t="n">
        <v>5</v>
      </c>
      <c r="F74" s="2" t="n">
        <v>2</v>
      </c>
      <c r="G74" s="3" t="n">
        <v>1900</v>
      </c>
      <c r="H74" s="3">
        <f>E74*G74</f>
        <v/>
      </c>
      <c r="I74" s="2" t="inlineStr">
        <is>
          <t>B</t>
        </is>
      </c>
      <c r="J74" s="2" t="n">
        <v>6</v>
      </c>
      <c r="K74" s="2">
        <f>IF(E74&lt;F74,"REORDER","")</f>
        <v/>
      </c>
    </row>
    <row r="75">
      <c r="A75" s="4" t="inlineStr">
        <is>
          <t>Main shaft temperature sensor</t>
        </is>
      </c>
      <c r="B75" s="4" t="inlineStr">
        <is>
          <t>MS-TS-01</t>
        </is>
      </c>
      <c r="C75" s="4" t="inlineStr">
        <is>
          <t>Ostholstein</t>
        </is>
      </c>
      <c r="D75" s="4" t="inlineStr">
        <is>
          <t>Husum central store</t>
        </is>
      </c>
      <c r="E75" s="4" t="n">
        <v>15</v>
      </c>
      <c r="F75" s="4" t="n">
        <v>6</v>
      </c>
      <c r="G75" s="5" t="n">
        <v>140</v>
      </c>
      <c r="H75" s="5">
        <f>E75*G75</f>
        <v/>
      </c>
      <c r="I75" s="4" t="inlineStr">
        <is>
          <t>C</t>
        </is>
      </c>
      <c r="J75" s="4" t="n">
        <v>2</v>
      </c>
      <c r="K75" s="4">
        <f>IF(E75&lt;F75,"REORDER","")</f>
        <v/>
      </c>
    </row>
    <row r="76">
      <c r="A76" s="2" t="inlineStr">
        <is>
          <t>Hydraulic pump unit</t>
        </is>
      </c>
      <c r="B76" s="2" t="inlineStr">
        <is>
          <t>HY-PU-18</t>
        </is>
      </c>
      <c r="C76" s="2" t="inlineStr">
        <is>
          <t>Ostholstein</t>
        </is>
      </c>
      <c r="D76" s="2" t="inlineStr">
        <is>
          <t>Husum central store</t>
        </is>
      </c>
      <c r="E76" s="2" t="n">
        <v>3</v>
      </c>
      <c r="F76" s="2" t="n">
        <v>2</v>
      </c>
      <c r="G76" s="3" t="n">
        <v>5400</v>
      </c>
      <c r="H76" s="3">
        <f>E76*G76</f>
        <v/>
      </c>
      <c r="I76" s="2" t="inlineStr">
        <is>
          <t>B</t>
        </is>
      </c>
      <c r="J76" s="2" t="n">
        <v>10</v>
      </c>
      <c r="K76" s="2">
        <f>IF(E76&lt;F76,"REORDER","")</f>
        <v/>
      </c>
    </row>
    <row r="77">
      <c r="A77" s="4" t="inlineStr">
        <is>
          <t>Service lift wire rope 120 m</t>
        </is>
      </c>
      <c r="B77" s="4" t="inlineStr">
        <is>
          <t>SL-WR-120</t>
        </is>
      </c>
      <c r="C77" s="4" t="inlineStr">
        <is>
          <t>Ostholstein</t>
        </is>
      </c>
      <c r="D77" s="4" t="inlineStr">
        <is>
          <t>Husum central store</t>
        </is>
      </c>
      <c r="E77" s="4" t="n">
        <v>2</v>
      </c>
      <c r="F77" s="4" t="n">
        <v>2</v>
      </c>
      <c r="G77" s="5" t="n">
        <v>980</v>
      </c>
      <c r="H77" s="5">
        <f>E77*G77</f>
        <v/>
      </c>
      <c r="I77" s="4" t="inlineStr">
        <is>
          <t>B</t>
        </is>
      </c>
      <c r="J77" s="4" t="n">
        <v>4</v>
      </c>
      <c r="K77" s="4">
        <f>IF(E77&lt;F77,"REORDER","")</f>
        <v/>
      </c>
    </row>
    <row r="78">
      <c r="A78" s="2" t="inlineStr">
        <is>
          <t>Aviation light LED unit</t>
        </is>
      </c>
      <c r="B78" s="2" t="inlineStr">
        <is>
          <t>AV-LED-2000</t>
        </is>
      </c>
      <c r="C78" s="2" t="inlineStr">
        <is>
          <t>Ostholstein</t>
        </is>
      </c>
      <c r="D78" s="2" t="inlineStr">
        <is>
          <t>Husum central store</t>
        </is>
      </c>
      <c r="E78" s="2" t="n">
        <v>1</v>
      </c>
      <c r="F78" s="2" t="n">
        <v>2</v>
      </c>
      <c r="G78" s="3" t="n">
        <v>860</v>
      </c>
      <c r="H78" s="3">
        <f>E78*G78</f>
        <v/>
      </c>
      <c r="I78" s="2" t="inlineStr">
        <is>
          <t>B</t>
        </is>
      </c>
      <c r="J78" s="2" t="n">
        <v>6</v>
      </c>
      <c r="K78" s="2">
        <f>IF(E78&lt;F78,"REORDER","")</f>
        <v/>
      </c>
    </row>
    <row r="79">
      <c r="A79" s="4" t="inlineStr">
        <is>
          <t>33 kV cable termination kit</t>
        </is>
      </c>
      <c r="B79" s="4" t="inlineStr">
        <is>
          <t>HV-TERM-33</t>
        </is>
      </c>
      <c r="C79" s="4" t="inlineStr">
        <is>
          <t>Ostholstein</t>
        </is>
      </c>
      <c r="D79" s="4" t="inlineStr">
        <is>
          <t>Husum central store</t>
        </is>
      </c>
      <c r="E79" s="4" t="n">
        <v>2</v>
      </c>
      <c r="F79" s="4" t="n">
        <v>2</v>
      </c>
      <c r="G79" s="5" t="n">
        <v>690</v>
      </c>
      <c r="H79" s="5">
        <f>E79*G79</f>
        <v/>
      </c>
      <c r="I79" s="4" t="inlineStr">
        <is>
          <t>B</t>
        </is>
      </c>
      <c r="J79" s="4" t="n">
        <v>4</v>
      </c>
      <c r="K79" s="4">
        <f>IF(E79&lt;F79,"REORDER","")</f>
        <v/>
      </c>
    </row>
    <row r="80">
      <c r="A80" s="2" t="inlineStr">
        <is>
          <t>Surge arrester 33 kV</t>
        </is>
      </c>
      <c r="B80" s="2" t="inlineStr">
        <is>
          <t>HV-SA-33</t>
        </is>
      </c>
      <c r="C80" s="2" t="inlineStr">
        <is>
          <t>Ostholstein</t>
        </is>
      </c>
      <c r="D80" s="2" t="inlineStr">
        <is>
          <t>Husum central store</t>
        </is>
      </c>
      <c r="E80" s="2" t="n">
        <v>3</v>
      </c>
      <c r="F80" s="2" t="n">
        <v>2</v>
      </c>
      <c r="G80" s="3" t="n">
        <v>540</v>
      </c>
      <c r="H80" s="3">
        <f>E80*G80</f>
        <v/>
      </c>
      <c r="I80" s="2" t="inlineStr">
        <is>
          <t>B</t>
        </is>
      </c>
      <c r="J80" s="2" t="n">
        <v>6</v>
      </c>
      <c r="K80" s="2">
        <f>IF(E80&lt;F80,"REORDER","")</f>
        <v/>
      </c>
    </row>
    <row r="81">
      <c r="A81" s="4" t="inlineStr">
        <is>
          <t>Pitch accumulator 32 l</t>
        </is>
      </c>
      <c r="B81" s="4" t="inlineStr">
        <is>
          <t>PA-32-07</t>
        </is>
      </c>
      <c r="C81" s="4" t="inlineStr">
        <is>
          <t>Thy Vest</t>
        </is>
      </c>
      <c r="D81" s="4" t="inlineStr">
        <is>
          <t>Hanstholm (OEM)</t>
        </is>
      </c>
      <c r="E81" s="4" t="n">
        <v>5</v>
      </c>
      <c r="F81" s="4" t="n">
        <v>2</v>
      </c>
      <c r="G81" s="5" t="n">
        <v>1450</v>
      </c>
      <c r="H81" s="5">
        <f>E81*G81</f>
        <v/>
      </c>
      <c r="I81" s="4" t="inlineStr">
        <is>
          <t>B</t>
        </is>
      </c>
      <c r="J81" s="4" t="n">
        <v>6</v>
      </c>
      <c r="K81" s="4">
        <f>IF(E81&lt;F81,"REORDER","")</f>
        <v/>
      </c>
    </row>
    <row r="82">
      <c r="A82" s="2" t="inlineStr">
        <is>
          <t>Yaw drive gearbox</t>
        </is>
      </c>
      <c r="B82" s="2" t="inlineStr">
        <is>
          <t>YD-GB-04</t>
        </is>
      </c>
      <c r="C82" s="2" t="inlineStr">
        <is>
          <t>Thy Vest</t>
        </is>
      </c>
      <c r="D82" s="2" t="inlineStr">
        <is>
          <t>Hanstholm (OEM)</t>
        </is>
      </c>
      <c r="E82" s="2" t="n">
        <v>1</v>
      </c>
      <c r="F82" s="2" t="n">
        <v>1</v>
      </c>
      <c r="G82" s="3" t="n">
        <v>12400</v>
      </c>
      <c r="H82" s="3">
        <f>E82*G82</f>
        <v/>
      </c>
      <c r="I82" s="2" t="inlineStr">
        <is>
          <t>A</t>
        </is>
      </c>
      <c r="J82" s="2" t="n">
        <v>20</v>
      </c>
      <c r="K82" s="2">
        <f>IF(E82&lt;F82,"REORDER","")</f>
        <v/>
      </c>
    </row>
    <row r="83">
      <c r="A83" s="4" t="inlineStr">
        <is>
          <t>Carbon brush set</t>
        </is>
      </c>
      <c r="B83" s="4" t="inlineStr">
        <is>
          <t>GS-CB-06</t>
        </is>
      </c>
      <c r="C83" s="4" t="inlineStr">
        <is>
          <t>Thy Vest</t>
        </is>
      </c>
      <c r="D83" s="4" t="inlineStr">
        <is>
          <t>Hanstholm (OEM)</t>
        </is>
      </c>
      <c r="E83" s="4" t="n">
        <v>6</v>
      </c>
      <c r="F83" s="4" t="n">
        <v>6</v>
      </c>
      <c r="G83" s="5" t="n">
        <v>210</v>
      </c>
      <c r="H83" s="5">
        <f>E83*G83</f>
        <v/>
      </c>
      <c r="I83" s="4" t="inlineStr">
        <is>
          <t>C</t>
        </is>
      </c>
      <c r="J83" s="4" t="n">
        <v>3</v>
      </c>
      <c r="K83" s="4">
        <f>IF(E83&lt;F83,"REORDER","")</f>
        <v/>
      </c>
    </row>
    <row r="84">
      <c r="A84" s="2" t="inlineStr">
        <is>
          <t>Main shaft temperature sensor</t>
        </is>
      </c>
      <c r="B84" s="2" t="inlineStr">
        <is>
          <t>MS-TS-01</t>
        </is>
      </c>
      <c r="C84" s="2" t="inlineStr">
        <is>
          <t>Thy Vest</t>
        </is>
      </c>
      <c r="D84" s="2" t="inlineStr">
        <is>
          <t>Hanstholm (OEM)</t>
        </is>
      </c>
      <c r="E84" s="2" t="n">
        <v>6</v>
      </c>
      <c r="F84" s="2" t="n">
        <v>6</v>
      </c>
      <c r="G84" s="3" t="n">
        <v>140</v>
      </c>
      <c r="H84" s="3">
        <f>E84*G84</f>
        <v/>
      </c>
      <c r="I84" s="2" t="inlineStr">
        <is>
          <t>C</t>
        </is>
      </c>
      <c r="J84" s="2" t="n">
        <v>2</v>
      </c>
      <c r="K84" s="2">
        <f>IF(E84&lt;F84,"REORDER","")</f>
        <v/>
      </c>
    </row>
    <row r="85">
      <c r="A85" s="4" t="inlineStr">
        <is>
          <t>Hydraulic pump unit</t>
        </is>
      </c>
      <c r="B85" s="4" t="inlineStr">
        <is>
          <t>HY-PU-18</t>
        </is>
      </c>
      <c r="C85" s="4" t="inlineStr">
        <is>
          <t>Thy Vest</t>
        </is>
      </c>
      <c r="D85" s="4" t="inlineStr">
        <is>
          <t>Hanstholm (OEM)</t>
        </is>
      </c>
      <c r="E85" s="4" t="n">
        <v>5</v>
      </c>
      <c r="F85" s="4" t="n">
        <v>2</v>
      </c>
      <c r="G85" s="5" t="n">
        <v>5400</v>
      </c>
      <c r="H85" s="5">
        <f>E85*G85</f>
        <v/>
      </c>
      <c r="I85" s="4" t="inlineStr">
        <is>
          <t>B</t>
        </is>
      </c>
      <c r="J85" s="4" t="n">
        <v>10</v>
      </c>
      <c r="K85" s="4">
        <f>IF(E85&lt;F85,"REORDER","")</f>
        <v/>
      </c>
    </row>
    <row r="86">
      <c r="A86" s="2" t="inlineStr">
        <is>
          <t>Service lift wire rope 120 m</t>
        </is>
      </c>
      <c r="B86" s="2" t="inlineStr">
        <is>
          <t>SL-WR-120</t>
        </is>
      </c>
      <c r="C86" s="2" t="inlineStr">
        <is>
          <t>Thy Vest</t>
        </is>
      </c>
      <c r="D86" s="2" t="inlineStr">
        <is>
          <t>Hanstholm (OEM)</t>
        </is>
      </c>
      <c r="E86" s="2" t="n">
        <v>3</v>
      </c>
      <c r="F86" s="2" t="n">
        <v>2</v>
      </c>
      <c r="G86" s="3" t="n">
        <v>980</v>
      </c>
      <c r="H86" s="3">
        <f>E86*G86</f>
        <v/>
      </c>
      <c r="I86" s="2" t="inlineStr">
        <is>
          <t>B</t>
        </is>
      </c>
      <c r="J86" s="2" t="n">
        <v>4</v>
      </c>
      <c r="K86" s="2">
        <f>IF(E86&lt;F86,"REORDER","")</f>
        <v/>
      </c>
    </row>
    <row r="87">
      <c r="A87" s="4" t="inlineStr">
        <is>
          <t>Tower base controller PLC</t>
        </is>
      </c>
      <c r="B87" s="4" t="inlineStr">
        <is>
          <t>TBC-PLC-9</t>
        </is>
      </c>
      <c r="C87" s="4" t="inlineStr">
        <is>
          <t>Thy Vest</t>
        </is>
      </c>
      <c r="D87" s="4" t="inlineStr">
        <is>
          <t>Hanstholm (OEM)</t>
        </is>
      </c>
      <c r="E87" s="4" t="n">
        <v>4</v>
      </c>
      <c r="F87" s="4" t="n">
        <v>1</v>
      </c>
      <c r="G87" s="5" t="n">
        <v>4300</v>
      </c>
      <c r="H87" s="5">
        <f>E87*G87</f>
        <v/>
      </c>
      <c r="I87" s="4" t="inlineStr">
        <is>
          <t>A</t>
        </is>
      </c>
      <c r="J87" s="4" t="n">
        <v>16</v>
      </c>
      <c r="K87" s="4">
        <f>IF(E87&lt;F87,"REORDER","")</f>
        <v/>
      </c>
    </row>
    <row r="88">
      <c r="A88" s="2" t="inlineStr">
        <is>
          <t>33 kV cable termination kit</t>
        </is>
      </c>
      <c r="B88" s="2" t="inlineStr">
        <is>
          <t>HV-TERM-33</t>
        </is>
      </c>
      <c r="C88" s="2" t="inlineStr">
        <is>
          <t>Thy Vest</t>
        </is>
      </c>
      <c r="D88" s="2" t="inlineStr">
        <is>
          <t>Hanstholm (OEM)</t>
        </is>
      </c>
      <c r="E88" s="2" t="n">
        <v>1</v>
      </c>
      <c r="F88" s="2" t="n">
        <v>2</v>
      </c>
      <c r="G88" s="3" t="n">
        <v>690</v>
      </c>
      <c r="H88" s="3">
        <f>E88*G88</f>
        <v/>
      </c>
      <c r="I88" s="2" t="inlineStr">
        <is>
          <t>B</t>
        </is>
      </c>
      <c r="J88" s="2" t="n">
        <v>4</v>
      </c>
      <c r="K88" s="2">
        <f>IF(E88&lt;F88,"REORDER","")</f>
        <v/>
      </c>
    </row>
    <row r="89">
      <c r="A89" s="4" t="inlineStr">
        <is>
          <t>String inverter 100 kW</t>
        </is>
      </c>
      <c r="B89" s="4" t="inlineStr">
        <is>
          <t>INV-STR-100</t>
        </is>
      </c>
      <c r="C89" s="4" t="inlineStr">
        <is>
          <t>Uckermark Solar</t>
        </is>
      </c>
      <c r="D89" s="4" t="inlineStr">
        <is>
          <t>Uckermark site container</t>
        </is>
      </c>
      <c r="E89" s="4" t="n">
        <v>1</v>
      </c>
      <c r="F89" s="4" t="n">
        <v>2</v>
      </c>
      <c r="G89" s="5" t="n">
        <v>4200</v>
      </c>
      <c r="H89" s="5">
        <f>E89*G89</f>
        <v/>
      </c>
      <c r="I89" s="4" t="inlineStr">
        <is>
          <t>B</t>
        </is>
      </c>
      <c r="J89" s="4" t="n">
        <v>8</v>
      </c>
      <c r="K89" s="4">
        <f>IF(E89&lt;F89,"REORDER","")</f>
        <v/>
      </c>
    </row>
    <row r="90">
      <c r="A90" s="2" t="inlineStr">
        <is>
          <t>MV transformer 3.15 MVA</t>
        </is>
      </c>
      <c r="B90" s="2" t="inlineStr">
        <is>
          <t>MVT-3150</t>
        </is>
      </c>
      <c r="C90" s="2" t="inlineStr">
        <is>
          <t>Uckermark Solar</t>
        </is>
      </c>
      <c r="D90" s="2" t="inlineStr">
        <is>
          <t>Uckermark site container</t>
        </is>
      </c>
      <c r="E90" s="2" t="n">
        <v>4</v>
      </c>
      <c r="F90" s="2" t="n">
        <v>1</v>
      </c>
      <c r="G90" s="3" t="n">
        <v>64000</v>
      </c>
      <c r="H90" s="3">
        <f>E90*G90</f>
        <v/>
      </c>
      <c r="I90" s="2" t="inlineStr">
        <is>
          <t>A</t>
        </is>
      </c>
      <c r="J90" s="2" t="n">
        <v>40</v>
      </c>
      <c r="K90" s="2">
        <f>IF(E90&lt;F90,"REORDER","")</f>
        <v/>
      </c>
    </row>
    <row r="91">
      <c r="A91" s="4" t="inlineStr">
        <is>
          <t>Central inverter power stack</t>
        </is>
      </c>
      <c r="B91" s="4" t="inlineStr">
        <is>
          <t>INV-PS-2500</t>
        </is>
      </c>
      <c r="C91" s="4" t="inlineStr">
        <is>
          <t>Lüneburger Heide Solar</t>
        </is>
      </c>
      <c r="D91" s="4" t="inlineStr">
        <is>
          <t>Uckermark site container</t>
        </is>
      </c>
      <c r="E91" s="4" t="n">
        <v>1</v>
      </c>
      <c r="F91" s="4" t="n">
        <v>1</v>
      </c>
      <c r="G91" s="5" t="n">
        <v>38500</v>
      </c>
      <c r="H91" s="5">
        <f>E91*G91</f>
        <v/>
      </c>
      <c r="I91" s="4" t="inlineStr">
        <is>
          <t>A</t>
        </is>
      </c>
      <c r="J91" s="4" t="n">
        <v>24</v>
      </c>
      <c r="K91" s="4">
        <f>IF(E91&lt;F91,"REORDER","")</f>
        <v/>
      </c>
    </row>
    <row r="92">
      <c r="A92" s="2" t="inlineStr">
        <is>
          <t>Tracker motor</t>
        </is>
      </c>
      <c r="B92" s="2" t="inlineStr">
        <is>
          <t>TRK-MOT-24</t>
        </is>
      </c>
      <c r="C92" s="2" t="inlineStr">
        <is>
          <t>Lüneburger Heide Solar</t>
        </is>
      </c>
      <c r="D92" s="2" t="inlineStr">
        <is>
          <t>Uckermark site container</t>
        </is>
      </c>
      <c r="E92" s="2" t="n">
        <v>9</v>
      </c>
      <c r="F92" s="2" t="n">
        <v>6</v>
      </c>
      <c r="G92" s="3" t="n">
        <v>290</v>
      </c>
      <c r="H92" s="3">
        <f>E92*G92</f>
        <v/>
      </c>
      <c r="I92" s="2" t="inlineStr">
        <is>
          <t>C</t>
        </is>
      </c>
      <c r="J92" s="2" t="n">
        <v>5</v>
      </c>
      <c r="K92" s="2">
        <f>IF(E92&lt;F92,"REORDER","")</f>
        <v/>
      </c>
    </row>
    <row r="93">
      <c r="A93" s="4" t="inlineStr">
        <is>
          <t>Surge arrester 33 kV</t>
        </is>
      </c>
      <c r="B93" s="4" t="inlineStr">
        <is>
          <t>HV-SA-33</t>
        </is>
      </c>
      <c r="C93" s="4" t="inlineStr">
        <is>
          <t>Lüneburger Heide Solar</t>
        </is>
      </c>
      <c r="D93" s="4" t="inlineStr">
        <is>
          <t>Uckermark site container</t>
        </is>
      </c>
      <c r="E93" s="4" t="n">
        <v>1</v>
      </c>
      <c r="F93" s="4" t="n">
        <v>2</v>
      </c>
      <c r="G93" s="5" t="n">
        <v>540</v>
      </c>
      <c r="H93" s="5">
        <f>E93*G93</f>
        <v/>
      </c>
      <c r="I93" s="4" t="inlineStr">
        <is>
          <t>B</t>
        </is>
      </c>
      <c r="J93" s="4" t="n">
        <v>6</v>
      </c>
      <c r="K93" s="4">
        <f>IF(E93&lt;F93,"REORDER","")</f>
        <v/>
      </c>
    </row>
    <row r="94">
      <c r="A94" s="2" t="inlineStr">
        <is>
          <t>Pitch accumulator 32 l</t>
        </is>
      </c>
      <c r="B94" s="2" t="inlineStr">
        <is>
          <t>PA-32-07</t>
        </is>
      </c>
      <c r="C94" s="2" t="inlineStr">
        <is>
          <t>Emsland</t>
        </is>
      </c>
      <c r="D94" s="2" t="inlineStr">
        <is>
          <t>Husum central store</t>
        </is>
      </c>
      <c r="E94" s="2" t="n">
        <v>3</v>
      </c>
      <c r="F94" s="2" t="n">
        <v>2</v>
      </c>
      <c r="G94" s="3" t="n">
        <v>1450</v>
      </c>
      <c r="H94" s="3">
        <f>E94*G94</f>
        <v/>
      </c>
      <c r="I94" s="2" t="inlineStr">
        <is>
          <t>B</t>
        </is>
      </c>
      <c r="J94" s="2" t="n">
        <v>6</v>
      </c>
      <c r="K94" s="2">
        <f>IF(E94&lt;F94,"REORDER","")</f>
        <v/>
      </c>
    </row>
    <row r="95">
      <c r="A95" s="4" t="inlineStr">
        <is>
          <t>IGBT converter module</t>
        </is>
      </c>
      <c r="B95" s="4" t="inlineStr">
        <is>
          <t>CV-IGBT-1700</t>
        </is>
      </c>
      <c r="C95" s="4" t="inlineStr">
        <is>
          <t>Emsland</t>
        </is>
      </c>
      <c r="D95" s="4" t="inlineStr">
        <is>
          <t>Husum central store</t>
        </is>
      </c>
      <c r="E95" s="4" t="n">
        <v>2</v>
      </c>
      <c r="F95" s="4" t="n">
        <v>1</v>
      </c>
      <c r="G95" s="5" t="n">
        <v>9200</v>
      </c>
      <c r="H95" s="5">
        <f>E95*G95</f>
        <v/>
      </c>
      <c r="I95" s="4" t="inlineStr">
        <is>
          <t>A</t>
        </is>
      </c>
      <c r="J95" s="4" t="n">
        <v>18</v>
      </c>
      <c r="K95" s="4">
        <f>IF(E95&lt;F95,"REORDER","")</f>
        <v/>
      </c>
    </row>
    <row r="96">
      <c r="A96" s="2" t="inlineStr">
        <is>
          <t>Yaw brake pad set</t>
        </is>
      </c>
      <c r="B96" s="2" t="inlineStr">
        <is>
          <t>YB-PAD-12</t>
        </is>
      </c>
      <c r="C96" s="2" t="inlineStr">
        <is>
          <t>Emsland</t>
        </is>
      </c>
      <c r="D96" s="2" t="inlineStr">
        <is>
          <t>Husum central store</t>
        </is>
      </c>
      <c r="E96" s="2" t="n">
        <v>15</v>
      </c>
      <c r="F96" s="2" t="n">
        <v>6</v>
      </c>
      <c r="G96" s="3" t="n">
        <v>380</v>
      </c>
      <c r="H96" s="3">
        <f>E96*G96</f>
        <v/>
      </c>
      <c r="I96" s="2" t="inlineStr">
        <is>
          <t>C</t>
        </is>
      </c>
      <c r="J96" s="2" t="n">
        <v>4</v>
      </c>
      <c r="K96" s="2">
        <f>IF(E96&lt;F96,"REORDER","")</f>
        <v/>
      </c>
    </row>
    <row r="97">
      <c r="A97" s="4" t="inlineStr">
        <is>
          <t>Yaw drive gearbox</t>
        </is>
      </c>
      <c r="B97" s="4" t="inlineStr">
        <is>
          <t>YD-GB-04</t>
        </is>
      </c>
      <c r="C97" s="4" t="inlineStr">
        <is>
          <t>Emsland</t>
        </is>
      </c>
      <c r="D97" s="4" t="inlineStr">
        <is>
          <t>Husum central store</t>
        </is>
      </c>
      <c r="E97" s="4" t="n">
        <v>1</v>
      </c>
      <c r="F97" s="4" t="n">
        <v>1</v>
      </c>
      <c r="G97" s="5" t="n">
        <v>12400</v>
      </c>
      <c r="H97" s="5">
        <f>E97*G97</f>
        <v/>
      </c>
      <c r="I97" s="4" t="inlineStr">
        <is>
          <t>A</t>
        </is>
      </c>
      <c r="J97" s="4" t="n">
        <v>20</v>
      </c>
      <c r="K97" s="4">
        <f>IF(E97&lt;F97,"REORDER","")</f>
        <v/>
      </c>
    </row>
    <row r="98">
      <c r="A98" s="2" t="inlineStr">
        <is>
          <t>Gearbox oil filter element</t>
        </is>
      </c>
      <c r="B98" s="2" t="inlineStr">
        <is>
          <t>GB-OF-310</t>
        </is>
      </c>
      <c r="C98" s="2" t="inlineStr">
        <is>
          <t>Emsland</t>
        </is>
      </c>
      <c r="D98" s="2" t="inlineStr">
        <is>
          <t>Husum central store</t>
        </is>
      </c>
      <c r="E98" s="2" t="n">
        <v>6</v>
      </c>
      <c r="F98" s="2" t="n">
        <v>6</v>
      </c>
      <c r="G98" s="3" t="n">
        <v>165</v>
      </c>
      <c r="H98" s="3">
        <f>E98*G98</f>
        <v/>
      </c>
      <c r="I98" s="2" t="inlineStr">
        <is>
          <t>C</t>
        </is>
      </c>
      <c r="J98" s="2" t="n">
        <v>2</v>
      </c>
      <c r="K98" s="2">
        <f>IF(E98&lt;F98,"REORDER","")</f>
        <v/>
      </c>
    </row>
    <row r="99">
      <c r="A99" s="4" t="inlineStr">
        <is>
          <t>ISS bearing (rotor side)</t>
        </is>
      </c>
      <c r="B99" s="4" t="inlineStr">
        <is>
          <t>GB-ISS-BRG-R</t>
        </is>
      </c>
      <c r="C99" s="4" t="inlineStr">
        <is>
          <t>Emsland</t>
        </is>
      </c>
      <c r="D99" s="4" t="inlineStr">
        <is>
          <t>Husum central store</t>
        </is>
      </c>
      <c r="E99" s="4" t="n">
        <v>1</v>
      </c>
      <c r="F99" s="4" t="n">
        <v>1</v>
      </c>
      <c r="G99" s="5" t="n">
        <v>18600</v>
      </c>
      <c r="H99" s="5">
        <f>E99*G99</f>
        <v/>
      </c>
      <c r="I99" s="4" t="inlineStr">
        <is>
          <t>A</t>
        </is>
      </c>
      <c r="J99" s="4" t="n">
        <v>26</v>
      </c>
      <c r="K99" s="4">
        <f>IF(E99&lt;F99,"REORDER","")</f>
        <v/>
      </c>
    </row>
    <row r="100">
      <c r="A100" s="2" t="inlineStr">
        <is>
          <t>Nacelle cooling fan motor</t>
        </is>
      </c>
      <c r="B100" s="2" t="inlineStr">
        <is>
          <t>NC-FAN-55</t>
        </is>
      </c>
      <c r="C100" s="2" t="inlineStr">
        <is>
          <t>Emsland</t>
        </is>
      </c>
      <c r="D100" s="2" t="inlineStr">
        <is>
          <t>Husum central store</t>
        </is>
      </c>
      <c r="E100" s="2" t="n">
        <v>3</v>
      </c>
      <c r="F100" s="2" t="n">
        <v>2</v>
      </c>
      <c r="G100" s="3" t="n">
        <v>1900</v>
      </c>
      <c r="H100" s="3">
        <f>E100*G100</f>
        <v/>
      </c>
      <c r="I100" s="2" t="inlineStr">
        <is>
          <t>B</t>
        </is>
      </c>
      <c r="J100" s="2" t="n">
        <v>6</v>
      </c>
      <c r="K100" s="2">
        <f>IF(E100&lt;F100,"REORDER","")</f>
        <v/>
      </c>
    </row>
    <row r="101">
      <c r="A101" s="4" t="inlineStr">
        <is>
          <t>Anemometer heated ultrasonic</t>
        </is>
      </c>
      <c r="B101" s="4" t="inlineStr">
        <is>
          <t>MET-US-02</t>
        </is>
      </c>
      <c r="C101" s="4" t="inlineStr">
        <is>
          <t>Emsland</t>
        </is>
      </c>
      <c r="D101" s="4" t="inlineStr">
        <is>
          <t>Husum central store</t>
        </is>
      </c>
      <c r="E101" s="4" t="n">
        <v>5</v>
      </c>
      <c r="F101" s="4" t="n">
        <v>2</v>
      </c>
      <c r="G101" s="5" t="n">
        <v>2100</v>
      </c>
      <c r="H101" s="5">
        <f>E101*G101</f>
        <v/>
      </c>
      <c r="I101" s="4" t="inlineStr">
        <is>
          <t>B</t>
        </is>
      </c>
      <c r="J101" s="4" t="n">
        <v>5</v>
      </c>
      <c r="K101" s="4">
        <f>IF(E101&lt;F101,"REORDER","")</f>
        <v/>
      </c>
    </row>
    <row r="102">
      <c r="A102" s="2" t="inlineStr">
        <is>
          <t>Main shaft temperature sensor</t>
        </is>
      </c>
      <c r="B102" s="2" t="inlineStr">
        <is>
          <t>MS-TS-01</t>
        </is>
      </c>
      <c r="C102" s="2" t="inlineStr">
        <is>
          <t>Emsland</t>
        </is>
      </c>
      <c r="D102" s="2" t="inlineStr">
        <is>
          <t>Husum central store</t>
        </is>
      </c>
      <c r="E102" s="2" t="n">
        <v>15</v>
      </c>
      <c r="F102" s="2" t="n">
        <v>6</v>
      </c>
      <c r="G102" s="3" t="n">
        <v>140</v>
      </c>
      <c r="H102" s="3">
        <f>E102*G102</f>
        <v/>
      </c>
      <c r="I102" s="2" t="inlineStr">
        <is>
          <t>C</t>
        </is>
      </c>
      <c r="J102" s="2" t="n">
        <v>2</v>
      </c>
      <c r="K102" s="2">
        <f>IF(E102&lt;F102,"REORDER","")</f>
        <v/>
      </c>
    </row>
    <row r="103">
      <c r="A103" s="4" t="inlineStr">
        <is>
          <t>Hydraulic pump unit</t>
        </is>
      </c>
      <c r="B103" s="4" t="inlineStr">
        <is>
          <t>HY-PU-18</t>
        </is>
      </c>
      <c r="C103" s="4" t="inlineStr">
        <is>
          <t>Emsland</t>
        </is>
      </c>
      <c r="D103" s="4" t="inlineStr">
        <is>
          <t>Husum central store</t>
        </is>
      </c>
      <c r="E103" s="4" t="n">
        <v>4</v>
      </c>
      <c r="F103" s="4" t="n">
        <v>2</v>
      </c>
      <c r="G103" s="5" t="n">
        <v>5400</v>
      </c>
      <c r="H103" s="5">
        <f>E103*G103</f>
        <v/>
      </c>
      <c r="I103" s="4" t="inlineStr">
        <is>
          <t>B</t>
        </is>
      </c>
      <c r="J103" s="4" t="n">
        <v>10</v>
      </c>
      <c r="K103" s="4">
        <f>IF(E103&lt;F103,"REORDER","")</f>
        <v/>
      </c>
    </row>
    <row r="104">
      <c r="A104" s="2" t="inlineStr">
        <is>
          <t>Service lift wire rope 120 m</t>
        </is>
      </c>
      <c r="B104" s="2" t="inlineStr">
        <is>
          <t>SL-WR-120</t>
        </is>
      </c>
      <c r="C104" s="2" t="inlineStr">
        <is>
          <t>Emsland</t>
        </is>
      </c>
      <c r="D104" s="2" t="inlineStr">
        <is>
          <t>Husum central store</t>
        </is>
      </c>
      <c r="E104" s="2" t="n">
        <v>2</v>
      </c>
      <c r="F104" s="2" t="n">
        <v>2</v>
      </c>
      <c r="G104" s="3" t="n">
        <v>980</v>
      </c>
      <c r="H104" s="3">
        <f>E104*G104</f>
        <v/>
      </c>
      <c r="I104" s="2" t="inlineStr">
        <is>
          <t>B</t>
        </is>
      </c>
      <c r="J104" s="2" t="n">
        <v>4</v>
      </c>
      <c r="K104" s="2">
        <f>IF(E104&lt;F104,"REORDER","")</f>
        <v/>
      </c>
    </row>
    <row r="105">
      <c r="A105" s="4" t="inlineStr">
        <is>
          <t>Fall arrest runner</t>
        </is>
      </c>
      <c r="B105" s="4" t="inlineStr">
        <is>
          <t>FA-RUN-03</t>
        </is>
      </c>
      <c r="C105" s="4" t="inlineStr">
        <is>
          <t>Emsland</t>
        </is>
      </c>
      <c r="D105" s="4" t="inlineStr">
        <is>
          <t>Husum central store</t>
        </is>
      </c>
      <c r="E105" s="4" t="n">
        <v>9</v>
      </c>
      <c r="F105" s="4" t="n">
        <v>6</v>
      </c>
      <c r="G105" s="5" t="n">
        <v>320</v>
      </c>
      <c r="H105" s="5">
        <f>E105*G105</f>
        <v/>
      </c>
      <c r="I105" s="4" t="inlineStr">
        <is>
          <t>C</t>
        </is>
      </c>
      <c r="J105" s="4" t="n">
        <v>2</v>
      </c>
      <c r="K105" s="4">
        <f>IF(E105&lt;F105,"REORDER","")</f>
        <v/>
      </c>
    </row>
    <row r="106">
      <c r="A106" s="2" t="inlineStr">
        <is>
          <t>Tower base controller PLC</t>
        </is>
      </c>
      <c r="B106" s="2" t="inlineStr">
        <is>
          <t>TBC-PLC-9</t>
        </is>
      </c>
      <c r="C106" s="2" t="inlineStr">
        <is>
          <t>Emsland</t>
        </is>
      </c>
      <c r="D106" s="2" t="inlineStr">
        <is>
          <t>Husum central store</t>
        </is>
      </c>
      <c r="E106" s="2" t="n">
        <v>1</v>
      </c>
      <c r="F106" s="2" t="n">
        <v>1</v>
      </c>
      <c r="G106" s="3" t="n">
        <v>4300</v>
      </c>
      <c r="H106" s="3">
        <f>E106*G106</f>
        <v/>
      </c>
      <c r="I106" s="2" t="inlineStr">
        <is>
          <t>A</t>
        </is>
      </c>
      <c r="J106" s="2" t="n">
        <v>16</v>
      </c>
      <c r="K106" s="2">
        <f>IF(E106&lt;F106,"REORDER","")</f>
        <v/>
      </c>
    </row>
    <row r="107">
      <c r="A107" s="4" t="inlineStr">
        <is>
          <t>33 kV cable termination kit</t>
        </is>
      </c>
      <c r="B107" s="4" t="inlineStr">
        <is>
          <t>HV-TERM-33</t>
        </is>
      </c>
      <c r="C107" s="4" t="inlineStr">
        <is>
          <t>Emsland</t>
        </is>
      </c>
      <c r="D107" s="4" t="inlineStr">
        <is>
          <t>Husum central store</t>
        </is>
      </c>
      <c r="E107" s="4" t="n">
        <v>4</v>
      </c>
      <c r="F107" s="4" t="n">
        <v>2</v>
      </c>
      <c r="G107" s="5" t="n">
        <v>690</v>
      </c>
      <c r="H107" s="5">
        <f>E107*G107</f>
        <v/>
      </c>
      <c r="I107" s="4" t="inlineStr">
        <is>
          <t>B</t>
        </is>
      </c>
      <c r="J107" s="4" t="n">
        <v>4</v>
      </c>
      <c r="K107" s="4">
        <f>IF(E107&lt;F107,"REORDER","")</f>
        <v/>
      </c>
    </row>
    <row r="108">
      <c r="A108" s="2" t="inlineStr">
        <is>
          <t>Surge arrester 33 kV</t>
        </is>
      </c>
      <c r="B108" s="2" t="inlineStr">
        <is>
          <t>HV-SA-33</t>
        </is>
      </c>
      <c r="C108" s="2" t="inlineStr">
        <is>
          <t>Emsland</t>
        </is>
      </c>
      <c r="D108" s="2" t="inlineStr">
        <is>
          <t>Husum central store</t>
        </is>
      </c>
      <c r="E108" s="2" t="n">
        <v>5</v>
      </c>
      <c r="F108" s="2" t="n">
        <v>2</v>
      </c>
      <c r="G108" s="3" t="n">
        <v>540</v>
      </c>
      <c r="H108" s="3">
        <f>E108*G108</f>
        <v/>
      </c>
      <c r="I108" s="2" t="inlineStr">
        <is>
          <t>B</t>
        </is>
      </c>
      <c r="J108" s="2" t="n">
        <v>6</v>
      </c>
      <c r="K108" s="2">
        <f>IF(E108&lt;F108,"REORDER","")</f>
        <v/>
      </c>
    </row>
    <row r="109">
      <c r="A109" s="4" t="inlineStr">
        <is>
          <t>Pitch motor 4.2 MW</t>
        </is>
      </c>
      <c r="B109" s="4" t="inlineStr">
        <is>
          <t>PM-42-110</t>
        </is>
      </c>
      <c r="C109" s="4" t="inlineStr">
        <is>
          <t>Altmark</t>
        </is>
      </c>
      <c r="D109" s="4" t="inlineStr">
        <is>
          <t>Husum central store</t>
        </is>
      </c>
      <c r="E109" s="4" t="n">
        <v>1</v>
      </c>
      <c r="F109" s="4" t="n">
        <v>1</v>
      </c>
      <c r="G109" s="5" t="n">
        <v>6800</v>
      </c>
      <c r="H109" s="5">
        <f>E109*G109</f>
        <v/>
      </c>
      <c r="I109" s="4" t="inlineStr">
        <is>
          <t>A</t>
        </is>
      </c>
      <c r="J109" s="4" t="n">
        <v>14</v>
      </c>
      <c r="K109" s="4">
        <f>IF(E109&lt;F109,"REORDER","")</f>
        <v/>
      </c>
    </row>
    <row r="110">
      <c r="A110" s="2" t="inlineStr">
        <is>
          <t>Pitch accumulator 32 l</t>
        </is>
      </c>
      <c r="B110" s="2" t="inlineStr">
        <is>
          <t>PA-32-07</t>
        </is>
      </c>
      <c r="C110" s="2" t="inlineStr">
        <is>
          <t>Altmark</t>
        </is>
      </c>
      <c r="D110" s="2" t="inlineStr">
        <is>
          <t>Husum central store</t>
        </is>
      </c>
      <c r="E110" s="2" t="n">
        <v>5</v>
      </c>
      <c r="F110" s="2" t="n">
        <v>2</v>
      </c>
      <c r="G110" s="3" t="n">
        <v>1450</v>
      </c>
      <c r="H110" s="3">
        <f>E110*G110</f>
        <v/>
      </c>
      <c r="I110" s="2" t="inlineStr">
        <is>
          <t>B</t>
        </is>
      </c>
      <c r="J110" s="2" t="n">
        <v>6</v>
      </c>
      <c r="K110" s="2">
        <f>IF(E110&lt;F110,"REORDER","")</f>
        <v/>
      </c>
    </row>
    <row r="111">
      <c r="A111" s="4" t="inlineStr">
        <is>
          <t>IGBT converter module</t>
        </is>
      </c>
      <c r="B111" s="4" t="inlineStr">
        <is>
          <t>CV-IGBT-1700</t>
        </is>
      </c>
      <c r="C111" s="4" t="inlineStr">
        <is>
          <t>Altmark</t>
        </is>
      </c>
      <c r="D111" s="4" t="inlineStr">
        <is>
          <t>Husum central store</t>
        </is>
      </c>
      <c r="E111" s="4" t="n">
        <v>1</v>
      </c>
      <c r="F111" s="4" t="n">
        <v>1</v>
      </c>
      <c r="G111" s="5" t="n">
        <v>9200</v>
      </c>
      <c r="H111" s="5">
        <f>E111*G111</f>
        <v/>
      </c>
      <c r="I111" s="4" t="inlineStr">
        <is>
          <t>A</t>
        </is>
      </c>
      <c r="J111" s="4" t="n">
        <v>18</v>
      </c>
      <c r="K111" s="4">
        <f>IF(E111&lt;F111,"REORDER","")</f>
        <v/>
      </c>
    </row>
    <row r="112">
      <c r="A112" s="2" t="inlineStr">
        <is>
          <t>Generator slip ring assembly</t>
        </is>
      </c>
      <c r="B112" s="2" t="inlineStr">
        <is>
          <t>GS-SR-22</t>
        </is>
      </c>
      <c r="C112" s="2" t="inlineStr">
        <is>
          <t>Altmark</t>
        </is>
      </c>
      <c r="D112" s="2" t="inlineStr">
        <is>
          <t>Husum central store</t>
        </is>
      </c>
      <c r="E112" s="2" t="n">
        <v>3</v>
      </c>
      <c r="F112" s="2" t="n">
        <v>2</v>
      </c>
      <c r="G112" s="3" t="n">
        <v>7600</v>
      </c>
      <c r="H112" s="3">
        <f>E112*G112</f>
        <v/>
      </c>
      <c r="I112" s="2" t="inlineStr">
        <is>
          <t>B</t>
        </is>
      </c>
      <c r="J112" s="2" t="n">
        <v>12</v>
      </c>
      <c r="K112" s="2">
        <f>IF(E112&lt;F112,"REORDER","")</f>
        <v/>
      </c>
    </row>
    <row r="113">
      <c r="A113" s="4" t="inlineStr">
        <is>
          <t>Carbon brush set</t>
        </is>
      </c>
      <c r="B113" s="4" t="inlineStr">
        <is>
          <t>GS-CB-06</t>
        </is>
      </c>
      <c r="C113" s="4" t="inlineStr">
        <is>
          <t>Altmark</t>
        </is>
      </c>
      <c r="D113" s="4" t="inlineStr">
        <is>
          <t>Husum central store</t>
        </is>
      </c>
      <c r="E113" s="4" t="n">
        <v>15</v>
      </c>
      <c r="F113" s="4" t="n">
        <v>6</v>
      </c>
      <c r="G113" s="5" t="n">
        <v>210</v>
      </c>
      <c r="H113" s="5">
        <f>E113*G113</f>
        <v/>
      </c>
      <c r="I113" s="4" t="inlineStr">
        <is>
          <t>C</t>
        </is>
      </c>
      <c r="J113" s="4" t="n">
        <v>3</v>
      </c>
      <c r="K113" s="4">
        <f>IF(E113&lt;F113,"REORDER","")</f>
        <v/>
      </c>
    </row>
    <row r="114">
      <c r="A114" s="2" t="inlineStr">
        <is>
          <t>Gearbox oil filter element</t>
        </is>
      </c>
      <c r="B114" s="2" t="inlineStr">
        <is>
          <t>GB-OF-310</t>
        </is>
      </c>
      <c r="C114" s="2" t="inlineStr">
        <is>
          <t>Altmark</t>
        </is>
      </c>
      <c r="D114" s="2" t="inlineStr">
        <is>
          <t>Husum central store</t>
        </is>
      </c>
      <c r="E114" s="2" t="n">
        <v>15</v>
      </c>
      <c r="F114" s="2" t="n">
        <v>6</v>
      </c>
      <c r="G114" s="3" t="n">
        <v>165</v>
      </c>
      <c r="H114" s="3">
        <f>E114*G114</f>
        <v/>
      </c>
      <c r="I114" s="2" t="inlineStr">
        <is>
          <t>C</t>
        </is>
      </c>
      <c r="J114" s="2" t="n">
        <v>2</v>
      </c>
      <c r="K114" s="2">
        <f>IF(E114&lt;F114,"REORDER","")</f>
        <v/>
      </c>
    </row>
    <row r="115">
      <c r="A115" s="4" t="inlineStr">
        <is>
          <t>ISS bearing (rotor side)</t>
        </is>
      </c>
      <c r="B115" s="4" t="inlineStr">
        <is>
          <t>GB-ISS-BRG-R</t>
        </is>
      </c>
      <c r="C115" s="4" t="inlineStr">
        <is>
          <t>Altmark</t>
        </is>
      </c>
      <c r="D115" s="4" t="inlineStr">
        <is>
          <t>Husum central store</t>
        </is>
      </c>
      <c r="E115" s="4" t="n">
        <v>2</v>
      </c>
      <c r="F115" s="4" t="n">
        <v>1</v>
      </c>
      <c r="G115" s="5" t="n">
        <v>18600</v>
      </c>
      <c r="H115" s="5">
        <f>E115*G115</f>
        <v/>
      </c>
      <c r="I115" s="4" t="inlineStr">
        <is>
          <t>A</t>
        </is>
      </c>
      <c r="J115" s="4" t="n">
        <v>26</v>
      </c>
      <c r="K115" s="4">
        <f>IF(E115&lt;F115,"REORDER","")</f>
        <v/>
      </c>
    </row>
    <row r="116">
      <c r="A116" s="2" t="inlineStr">
        <is>
          <t>HSS bearing set</t>
        </is>
      </c>
      <c r="B116" s="2" t="inlineStr">
        <is>
          <t>GB-HSS-BRG</t>
        </is>
      </c>
      <c r="C116" s="2" t="inlineStr">
        <is>
          <t>Altmark</t>
        </is>
      </c>
      <c r="D116" s="2" t="inlineStr">
        <is>
          <t>Husum central store</t>
        </is>
      </c>
      <c r="E116" s="2" t="n">
        <v>1</v>
      </c>
      <c r="F116" s="2" t="n">
        <v>1</v>
      </c>
      <c r="G116" s="3" t="n">
        <v>11200</v>
      </c>
      <c r="H116" s="3">
        <f>E116*G116</f>
        <v/>
      </c>
      <c r="I116" s="2" t="inlineStr">
        <is>
          <t>A</t>
        </is>
      </c>
      <c r="J116" s="2" t="n">
        <v>22</v>
      </c>
      <c r="K116" s="2">
        <f>IF(E116&lt;F116,"REORDER","")</f>
        <v/>
      </c>
    </row>
    <row r="117">
      <c r="A117" s="4" t="inlineStr">
        <is>
          <t>Nacelle cooling fan motor</t>
        </is>
      </c>
      <c r="B117" s="4" t="inlineStr">
        <is>
          <t>NC-FAN-55</t>
        </is>
      </c>
      <c r="C117" s="4" t="inlineStr">
        <is>
          <t>Altmark</t>
        </is>
      </c>
      <c r="D117" s="4" t="inlineStr">
        <is>
          <t>Husum central store</t>
        </is>
      </c>
      <c r="E117" s="4" t="n">
        <v>1</v>
      </c>
      <c r="F117" s="4" t="n">
        <v>2</v>
      </c>
      <c r="G117" s="5" t="n">
        <v>1900</v>
      </c>
      <c r="H117" s="5">
        <f>E117*G117</f>
        <v/>
      </c>
      <c r="I117" s="4" t="inlineStr">
        <is>
          <t>B</t>
        </is>
      </c>
      <c r="J117" s="4" t="n">
        <v>6</v>
      </c>
      <c r="K117" s="4">
        <f>IF(E117&lt;F117,"REORDER","")</f>
        <v/>
      </c>
    </row>
    <row r="118">
      <c r="A118" s="2" t="inlineStr">
        <is>
          <t>Anemometer heated ultrasonic</t>
        </is>
      </c>
      <c r="B118" s="2" t="inlineStr">
        <is>
          <t>MET-US-02</t>
        </is>
      </c>
      <c r="C118" s="2" t="inlineStr">
        <is>
          <t>Altmark</t>
        </is>
      </c>
      <c r="D118" s="2" t="inlineStr">
        <is>
          <t>Husum central store</t>
        </is>
      </c>
      <c r="E118" s="2" t="n">
        <v>1</v>
      </c>
      <c r="F118" s="2" t="n">
        <v>2</v>
      </c>
      <c r="G118" s="3" t="n">
        <v>2100</v>
      </c>
      <c r="H118" s="3">
        <f>E118*G118</f>
        <v/>
      </c>
      <c r="I118" s="2" t="inlineStr">
        <is>
          <t>B</t>
        </is>
      </c>
      <c r="J118" s="2" t="n">
        <v>5</v>
      </c>
      <c r="K118" s="2">
        <f>IF(E118&lt;F118,"REORDER","")</f>
        <v/>
      </c>
    </row>
    <row r="119">
      <c r="A119" s="4" t="inlineStr">
        <is>
          <t>Main shaft temperature sensor</t>
        </is>
      </c>
      <c r="B119" s="4" t="inlineStr">
        <is>
          <t>MS-TS-01</t>
        </is>
      </c>
      <c r="C119" s="4" t="inlineStr">
        <is>
          <t>Altmark</t>
        </is>
      </c>
      <c r="D119" s="4" t="inlineStr">
        <is>
          <t>Husum central store</t>
        </is>
      </c>
      <c r="E119" s="4" t="n">
        <v>9</v>
      </c>
      <c r="F119" s="4" t="n">
        <v>6</v>
      </c>
      <c r="G119" s="5" t="n">
        <v>140</v>
      </c>
      <c r="H119" s="5">
        <f>E119*G119</f>
        <v/>
      </c>
      <c r="I119" s="4" t="inlineStr">
        <is>
          <t>C</t>
        </is>
      </c>
      <c r="J119" s="4" t="n">
        <v>2</v>
      </c>
      <c r="K119" s="4">
        <f>IF(E119&lt;F119,"REORDER","")</f>
        <v/>
      </c>
    </row>
    <row r="120">
      <c r="A120" s="2" t="inlineStr">
        <is>
          <t>Service lift wire rope 120 m</t>
        </is>
      </c>
      <c r="B120" s="2" t="inlineStr">
        <is>
          <t>SL-WR-120</t>
        </is>
      </c>
      <c r="C120" s="2" t="inlineStr">
        <is>
          <t>Altmark</t>
        </is>
      </c>
      <c r="D120" s="2" t="inlineStr">
        <is>
          <t>Husum central store</t>
        </is>
      </c>
      <c r="E120" s="2" t="n">
        <v>3</v>
      </c>
      <c r="F120" s="2" t="n">
        <v>2</v>
      </c>
      <c r="G120" s="3" t="n">
        <v>980</v>
      </c>
      <c r="H120" s="3">
        <f>E120*G120</f>
        <v/>
      </c>
      <c r="I120" s="2" t="inlineStr">
        <is>
          <t>B</t>
        </is>
      </c>
      <c r="J120" s="2" t="n">
        <v>4</v>
      </c>
      <c r="K120" s="2">
        <f>IF(E120&lt;F120,"REORDER","")</f>
        <v/>
      </c>
    </row>
    <row r="121">
      <c r="A121" s="4" t="inlineStr">
        <is>
          <t>Surge arrester 33 kV</t>
        </is>
      </c>
      <c r="B121" s="4" t="inlineStr">
        <is>
          <t>HV-SA-33</t>
        </is>
      </c>
      <c r="C121" s="4" t="inlineStr">
        <is>
          <t>Altmark</t>
        </is>
      </c>
      <c r="D121" s="4" t="inlineStr">
        <is>
          <t>Husum central store</t>
        </is>
      </c>
      <c r="E121" s="4" t="n">
        <v>2</v>
      </c>
      <c r="F121" s="4" t="n">
        <v>2</v>
      </c>
      <c r="G121" s="5" t="n">
        <v>540</v>
      </c>
      <c r="H121" s="5">
        <f>E121*G121</f>
        <v/>
      </c>
      <c r="I121" s="4" t="inlineStr">
        <is>
          <t>B</t>
        </is>
      </c>
      <c r="J121" s="4" t="n">
        <v>6</v>
      </c>
      <c r="K121" s="4">
        <f>IF(E121&lt;F121,"REORDER","")</f>
        <v/>
      </c>
    </row>
    <row r="122">
      <c r="A122" s="2" t="inlineStr">
        <is>
          <t>Yaw brake pad set</t>
        </is>
      </c>
      <c r="B122" s="2" t="inlineStr">
        <is>
          <t>YB-PAD-12</t>
        </is>
      </c>
      <c r="C122" s="2" t="inlineStr">
        <is>
          <t>Ringkøbing</t>
        </is>
      </c>
      <c r="D122" s="2" t="inlineStr">
        <is>
          <t>Hanstholm (OEM)</t>
        </is>
      </c>
      <c r="E122" s="2" t="n">
        <v>15</v>
      </c>
      <c r="F122" s="2" t="n">
        <v>6</v>
      </c>
      <c r="G122" s="3" t="n">
        <v>380</v>
      </c>
      <c r="H122" s="3">
        <f>E122*G122</f>
        <v/>
      </c>
      <c r="I122" s="2" t="inlineStr">
        <is>
          <t>C</t>
        </is>
      </c>
      <c r="J122" s="2" t="n">
        <v>4</v>
      </c>
      <c r="K122" s="2">
        <f>IF(E122&lt;F122,"REORDER","")</f>
        <v/>
      </c>
    </row>
    <row r="123">
      <c r="A123" s="4" t="inlineStr">
        <is>
          <t>Yaw drive gearbox</t>
        </is>
      </c>
      <c r="B123" s="4" t="inlineStr">
        <is>
          <t>YD-GB-04</t>
        </is>
      </c>
      <c r="C123" s="4" t="inlineStr">
        <is>
          <t>Ringkøbing</t>
        </is>
      </c>
      <c r="D123" s="4" t="inlineStr">
        <is>
          <t>Hanstholm (OEM)</t>
        </is>
      </c>
      <c r="E123" s="4" t="n">
        <v>2</v>
      </c>
      <c r="F123" s="4" t="n">
        <v>1</v>
      </c>
      <c r="G123" s="5" t="n">
        <v>12400</v>
      </c>
      <c r="H123" s="5">
        <f>E123*G123</f>
        <v/>
      </c>
      <c r="I123" s="4" t="inlineStr">
        <is>
          <t>A</t>
        </is>
      </c>
      <c r="J123" s="4" t="n">
        <v>20</v>
      </c>
      <c r="K123" s="4">
        <f>IF(E123&lt;F123,"REORDER","")</f>
        <v/>
      </c>
    </row>
    <row r="124">
      <c r="A124" s="2" t="inlineStr">
        <is>
          <t>Carbon brush set</t>
        </is>
      </c>
      <c r="B124" s="2" t="inlineStr">
        <is>
          <t>GS-CB-06</t>
        </is>
      </c>
      <c r="C124" s="2" t="inlineStr">
        <is>
          <t>Ringkøbing</t>
        </is>
      </c>
      <c r="D124" s="2" t="inlineStr">
        <is>
          <t>Hanstholm (OEM)</t>
        </is>
      </c>
      <c r="E124" s="2" t="n">
        <v>6</v>
      </c>
      <c r="F124" s="2" t="n">
        <v>6</v>
      </c>
      <c r="G124" s="3" t="n">
        <v>210</v>
      </c>
      <c r="H124" s="3">
        <f>E124*G124</f>
        <v/>
      </c>
      <c r="I124" s="2" t="inlineStr">
        <is>
          <t>C</t>
        </is>
      </c>
      <c r="J124" s="2" t="n">
        <v>3</v>
      </c>
      <c r="K124" s="2">
        <f>IF(E124&lt;F124,"REORDER","")</f>
        <v/>
      </c>
    </row>
    <row r="125">
      <c r="A125" s="4" t="inlineStr">
        <is>
          <t>HSS bearing set</t>
        </is>
      </c>
      <c r="B125" s="4" t="inlineStr">
        <is>
          <t>GB-HSS-BRG</t>
        </is>
      </c>
      <c r="C125" s="4" t="inlineStr">
        <is>
          <t>Ringkøbing</t>
        </is>
      </c>
      <c r="D125" s="4" t="inlineStr">
        <is>
          <t>Hanstholm (OEM)</t>
        </is>
      </c>
      <c r="E125" s="4" t="n">
        <v>1</v>
      </c>
      <c r="F125" s="4" t="n">
        <v>1</v>
      </c>
      <c r="G125" s="5" t="n">
        <v>11200</v>
      </c>
      <c r="H125" s="5">
        <f>E125*G125</f>
        <v/>
      </c>
      <c r="I125" s="4" t="inlineStr">
        <is>
          <t>A</t>
        </is>
      </c>
      <c r="J125" s="4" t="n">
        <v>22</v>
      </c>
      <c r="K125" s="4">
        <f>IF(E125&lt;F125,"REORDER","")</f>
        <v/>
      </c>
    </row>
    <row r="126">
      <c r="A126" s="2" t="inlineStr">
        <is>
          <t>Nacelle cooling fan motor</t>
        </is>
      </c>
      <c r="B126" s="2" t="inlineStr">
        <is>
          <t>NC-FAN-55</t>
        </is>
      </c>
      <c r="C126" s="2" t="inlineStr">
        <is>
          <t>Ringkøbing</t>
        </is>
      </c>
      <c r="D126" s="2" t="inlineStr">
        <is>
          <t>Hanstholm (OEM)</t>
        </is>
      </c>
      <c r="E126" s="2" t="n">
        <v>1</v>
      </c>
      <c r="F126" s="2" t="n">
        <v>2</v>
      </c>
      <c r="G126" s="3" t="n">
        <v>1900</v>
      </c>
      <c r="H126" s="3">
        <f>E126*G126</f>
        <v/>
      </c>
      <c r="I126" s="2" t="inlineStr">
        <is>
          <t>B</t>
        </is>
      </c>
      <c r="J126" s="2" t="n">
        <v>6</v>
      </c>
      <c r="K126" s="2">
        <f>IF(E126&lt;F126,"REORDER","")</f>
        <v/>
      </c>
    </row>
    <row r="127">
      <c r="A127" s="4" t="inlineStr">
        <is>
          <t>Main shaft temperature sensor</t>
        </is>
      </c>
      <c r="B127" s="4" t="inlineStr">
        <is>
          <t>MS-TS-01</t>
        </is>
      </c>
      <c r="C127" s="4" t="inlineStr">
        <is>
          <t>Ringkøbing</t>
        </is>
      </c>
      <c r="D127" s="4" t="inlineStr">
        <is>
          <t>Hanstholm (OEM)</t>
        </is>
      </c>
      <c r="E127" s="4" t="n">
        <v>15</v>
      </c>
      <c r="F127" s="4" t="n">
        <v>6</v>
      </c>
      <c r="G127" s="5" t="n">
        <v>140</v>
      </c>
      <c r="H127" s="5">
        <f>E127*G127</f>
        <v/>
      </c>
      <c r="I127" s="4" t="inlineStr">
        <is>
          <t>C</t>
        </is>
      </c>
      <c r="J127" s="4" t="n">
        <v>2</v>
      </c>
      <c r="K127" s="4">
        <f>IF(E127&lt;F127,"REORDER","")</f>
        <v/>
      </c>
    </row>
    <row r="128">
      <c r="A128" s="2" t="inlineStr">
        <is>
          <t>Service lift wire rope 120 m</t>
        </is>
      </c>
      <c r="B128" s="2" t="inlineStr">
        <is>
          <t>SL-WR-120</t>
        </is>
      </c>
      <c r="C128" s="2" t="inlineStr">
        <is>
          <t>Ringkøbing</t>
        </is>
      </c>
      <c r="D128" s="2" t="inlineStr">
        <is>
          <t>Hanstholm (OEM)</t>
        </is>
      </c>
      <c r="E128" s="2" t="n">
        <v>4</v>
      </c>
      <c r="F128" s="2" t="n">
        <v>2</v>
      </c>
      <c r="G128" s="3" t="n">
        <v>980</v>
      </c>
      <c r="H128" s="3">
        <f>E128*G128</f>
        <v/>
      </c>
      <c r="I128" s="2" t="inlineStr">
        <is>
          <t>B</t>
        </is>
      </c>
      <c r="J128" s="2" t="n">
        <v>4</v>
      </c>
      <c r="K128" s="2">
        <f>IF(E128&lt;F128,"REORDER","")</f>
        <v/>
      </c>
    </row>
    <row r="129">
      <c r="A129" s="4" t="inlineStr">
        <is>
          <t>Fall arrest runner</t>
        </is>
      </c>
      <c r="B129" s="4" t="inlineStr">
        <is>
          <t>FA-RUN-03</t>
        </is>
      </c>
      <c r="C129" s="4" t="inlineStr">
        <is>
          <t>Ringkøbing</t>
        </is>
      </c>
      <c r="D129" s="4" t="inlineStr">
        <is>
          <t>Hanstholm (OEM)</t>
        </is>
      </c>
      <c r="E129" s="4" t="n">
        <v>12</v>
      </c>
      <c r="F129" s="4" t="n">
        <v>6</v>
      </c>
      <c r="G129" s="5" t="n">
        <v>320</v>
      </c>
      <c r="H129" s="5">
        <f>E129*G129</f>
        <v/>
      </c>
      <c r="I129" s="4" t="inlineStr">
        <is>
          <t>C</t>
        </is>
      </c>
      <c r="J129" s="4" t="n">
        <v>2</v>
      </c>
      <c r="K129" s="4">
        <f>IF(E129&lt;F129,"REORDER","")</f>
        <v/>
      </c>
    </row>
    <row r="130">
      <c r="A130" s="2" t="inlineStr">
        <is>
          <t>33 kV cable termination kit</t>
        </is>
      </c>
      <c r="B130" s="2" t="inlineStr">
        <is>
          <t>HV-TERM-33</t>
        </is>
      </c>
      <c r="C130" s="2" t="inlineStr">
        <is>
          <t>Ringkøbing</t>
        </is>
      </c>
      <c r="D130" s="2" t="inlineStr">
        <is>
          <t>Hanstholm (OEM)</t>
        </is>
      </c>
      <c r="E130" s="2" t="n">
        <v>3</v>
      </c>
      <c r="F130" s="2" t="n">
        <v>2</v>
      </c>
      <c r="G130" s="3" t="n">
        <v>690</v>
      </c>
      <c r="H130" s="3">
        <f>E130*G130</f>
        <v/>
      </c>
      <c r="I130" s="2" t="inlineStr">
        <is>
          <t>B</t>
        </is>
      </c>
      <c r="J130" s="2" t="n">
        <v>4</v>
      </c>
      <c r="K130" s="2">
        <f>IF(E130&lt;F130,"REORDER","")</f>
        <v/>
      </c>
    </row>
    <row r="131">
      <c r="A131" s="4" t="inlineStr">
        <is>
          <t>Surge arrester 33 kV</t>
        </is>
      </c>
      <c r="B131" s="4" t="inlineStr">
        <is>
          <t>HV-SA-33</t>
        </is>
      </c>
      <c r="C131" s="4" t="inlineStr">
        <is>
          <t>Ringkøbing</t>
        </is>
      </c>
      <c r="D131" s="4" t="inlineStr">
        <is>
          <t>Hanstholm (OEM)</t>
        </is>
      </c>
      <c r="E131" s="4" t="n">
        <v>1</v>
      </c>
      <c r="F131" s="4" t="n">
        <v>2</v>
      </c>
      <c r="G131" s="5" t="n">
        <v>540</v>
      </c>
      <c r="H131" s="5">
        <f>E131*G131</f>
        <v/>
      </c>
      <c r="I131" s="4" t="inlineStr">
        <is>
          <t>B</t>
        </is>
      </c>
      <c r="J131" s="4" t="n">
        <v>6</v>
      </c>
      <c r="K131" s="4">
        <f>IF(E131&lt;F131,"REORDER","")</f>
        <v/>
      </c>
    </row>
    <row r="132">
      <c r="A132" s="2" t="inlineStr">
        <is>
          <t>Total</t>
        </is>
      </c>
      <c r="B132" s="2" t="inlineStr"/>
      <c r="C132" s="2" t="inlineStr"/>
      <c r="D132" s="2" t="inlineStr"/>
      <c r="E132" s="2" t="inlineStr"/>
      <c r="F132" s="2" t="inlineStr"/>
      <c r="G132" s="3" t="inlineStr"/>
      <c r="H132" s="3">
        <f>SUM(H2:H131)</f>
        <v/>
      </c>
      <c r="I132" s="2" t="inlineStr"/>
      <c r="J132" s="2" t="inlineStr"/>
      <c r="K132" s="2">
        <f>COUNTIF(K2:K131,"REORDER")</f>
        <v/>
      </c>
    </row>
  </sheetData>
  <autoFilter ref="A1:K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70" customWidth="1" min="3" max="3"/>
  </cols>
  <sheetData>
    <row r="1">
      <c r="A1" s="1" t="inlineStr">
        <is>
          <t>Criticality</t>
        </is>
      </c>
      <c r="B1" s="1" t="inlineStr">
        <is>
          <t>Definition</t>
        </is>
      </c>
      <c r="C1" s="1" t="inlineStr">
        <is>
          <t>Stocking rule</t>
        </is>
      </c>
    </row>
    <row r="2">
      <c r="A2" s="2" t="inlineStr">
        <is>
          <t>A</t>
        </is>
      </c>
      <c r="B2" s="2" t="inlineStr">
        <is>
          <t>Failure stops a turbine or inverter and lead time &gt; 8 weeks</t>
        </is>
      </c>
      <c r="C2" s="2" t="inlineStr">
        <is>
          <t>At least 1 per asset type in the region; pool agreements for gearboxes and transformers</t>
        </is>
      </c>
    </row>
    <row r="3">
      <c r="A3" s="4" t="inlineStr">
        <is>
          <t>B</t>
        </is>
      </c>
      <c r="B3" s="4" t="inlineStr">
        <is>
          <t>Failure stops the unit, lead time 4–8 weeks</t>
        </is>
      </c>
      <c r="C3" s="4" t="inlineStr">
        <is>
          <t>Min stock per asset based on 2 years of failure history</t>
        </is>
      </c>
    </row>
    <row r="4">
      <c r="A4" s="2" t="inlineStr">
        <is>
          <t>C</t>
        </is>
      </c>
      <c r="B4" s="2" t="inlineStr">
        <is>
          <t>Consumables and fast-moving parts</t>
        </is>
      </c>
      <c r="C4" s="2" t="inlineStr">
        <is>
          <t>Min/max, reorder automatically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Chen</dc:creator>
  <dcterms:created xmlns:dcterms="http://purl.org/dc/terms/" xmlns:xsi="http://www.w3.org/2001/XMLSchema-instance" xsi:type="dcterms:W3CDTF">2025-03-03T10:00:00Z</dcterms:created>
  <dcterms:modified xmlns:dcterms="http://purl.org/dc/terms/" xmlns:xsi="http://www.w3.org/2001/XMLSchema-instance" xsi:type="dcterms:W3CDTF">2026-10-04T19:30:40Z</dcterms:modified>
  <cp:lastModifiedBy>David Chen</cp:lastModifiedBy>
</cp:coreProperties>
</file>