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tailed GWh 2025" sheetId="1" state="visible" r:id="rId1"/>
  </sheets>
  <definedNames>
    <definedName name="_xlnm._FilterDatabase" localSheetId="0" hidden="1">'Curtailed GWh 2025'!$A$1:$O$15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2" fontId="1" fillId="0" borderId="1" pivotButton="0" quotePrefix="0" xfId="0"/>
    <xf numFmtId="0" fontId="1" fillId="3" borderId="1" pivotButton="0" quotePrefix="0" xfId="0"/>
    <xf numFmtId="2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2" customWidth="1" min="15" max="15"/>
  </cols>
  <sheetData>
    <row r="1">
      <c r="A1" s="1" t="inlineStr">
        <is>
          <t>Asset</t>
        </is>
      </c>
      <c r="B1" s="1" t="inlineStr">
        <is>
          <t>Regime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Total (GWh)</t>
        </is>
      </c>
    </row>
    <row r="2">
      <c r="A2" s="2" t="inlineStr">
        <is>
          <t>Kestrel Ridge</t>
        </is>
      </c>
      <c r="B2" s="2" t="inlineStr">
        <is>
          <t>UK constraint instructions</t>
        </is>
      </c>
      <c r="C2" s="3" t="n">
        <v>0.33</v>
      </c>
      <c r="D2" s="3" t="n">
        <v>0.66</v>
      </c>
      <c r="E2" s="3" t="n">
        <v>0.44</v>
      </c>
      <c r="F2" s="3" t="n">
        <v>0.39</v>
      </c>
      <c r="G2" s="3" t="n">
        <v>0.22</v>
      </c>
      <c r="H2" s="3" t="n">
        <v>0.34</v>
      </c>
      <c r="I2" s="3" t="n">
        <v>0.22</v>
      </c>
      <c r="J2" s="3" t="n">
        <v>0.36</v>
      </c>
      <c r="K2" s="3" t="n">
        <v>0.5</v>
      </c>
      <c r="L2" s="3" t="n">
        <v>0.59</v>
      </c>
      <c r="M2" s="3" t="n">
        <v>0.73</v>
      </c>
      <c r="N2" s="3" t="n">
        <v>0.5600000000000001</v>
      </c>
      <c r="O2" s="3">
        <f>SUM(C2:N2)</f>
        <v/>
      </c>
    </row>
    <row r="3">
      <c r="A3" s="4" t="inlineStr">
        <is>
          <t>Skerrow Moor</t>
        </is>
      </c>
      <c r="B3" s="4" t="inlineStr">
        <is>
          <t>UK constraint instructions</t>
        </is>
      </c>
      <c r="C3" s="5" t="n">
        <v>0.57</v>
      </c>
      <c r="D3" s="5" t="n">
        <v>0.91</v>
      </c>
      <c r="E3" s="5" t="n">
        <v>0.64</v>
      </c>
      <c r="F3" s="5" t="n">
        <v>0.36</v>
      </c>
      <c r="G3" s="5" t="n">
        <v>0.55</v>
      </c>
      <c r="H3" s="5" t="n">
        <v>0.19</v>
      </c>
      <c r="I3" s="5" t="n">
        <v>0.23</v>
      </c>
      <c r="J3" s="5" t="n">
        <v>0.33</v>
      </c>
      <c r="K3" s="5" t="n">
        <v>0.59</v>
      </c>
      <c r="L3" s="5" t="n">
        <v>0.5600000000000001</v>
      </c>
      <c r="M3" s="5" t="n">
        <v>0.83</v>
      </c>
      <c r="N3" s="5" t="n">
        <v>0.51</v>
      </c>
      <c r="O3" s="5">
        <f>SUM(C3:N3)</f>
        <v/>
      </c>
    </row>
    <row r="4">
      <c r="A4" s="2" t="inlineStr">
        <is>
          <t>Dunmore Hill</t>
        </is>
      </c>
      <c r="B4" s="2" t="inlineStr">
        <is>
          <t>UK constraint instructions</t>
        </is>
      </c>
      <c r="C4" s="3" t="n">
        <v>0.22</v>
      </c>
      <c r="D4" s="3" t="n">
        <v>0.15</v>
      </c>
      <c r="E4" s="3" t="n">
        <v>0.11</v>
      </c>
      <c r="F4" s="3" t="n">
        <v>0.15</v>
      </c>
      <c r="G4" s="3" t="n">
        <v>0.06</v>
      </c>
      <c r="H4" s="3" t="n">
        <v>0.07000000000000001</v>
      </c>
      <c r="I4" s="3" t="n">
        <v>0.09</v>
      </c>
      <c r="J4" s="3" t="n">
        <v>0.06</v>
      </c>
      <c r="K4" s="3" t="n">
        <v>0.08</v>
      </c>
      <c r="L4" s="3" t="n">
        <v>0.13</v>
      </c>
      <c r="M4" s="3" t="n">
        <v>0.24</v>
      </c>
      <c r="N4" s="3" t="n">
        <v>0.13</v>
      </c>
      <c r="O4" s="3">
        <f>SUM(C4:N4)</f>
        <v/>
      </c>
    </row>
    <row r="5">
      <c r="A5" s="4" t="inlineStr">
        <is>
          <t>Glenquey</t>
        </is>
      </c>
      <c r="B5" s="4" t="inlineStr">
        <is>
          <t>UK constraint instructions</t>
        </is>
      </c>
      <c r="C5" s="5" t="n">
        <v>0.31</v>
      </c>
      <c r="D5" s="5" t="n">
        <v>0.23</v>
      </c>
      <c r="E5" s="5" t="n">
        <v>0.2</v>
      </c>
      <c r="F5" s="5" t="n">
        <v>0.28</v>
      </c>
      <c r="G5" s="5" t="n">
        <v>0.18</v>
      </c>
      <c r="H5" s="5" t="n">
        <v>0.1</v>
      </c>
      <c r="I5" s="5" t="n">
        <v>0.1</v>
      </c>
      <c r="J5" s="5" t="n">
        <v>0.17</v>
      </c>
      <c r="K5" s="5" t="n">
        <v>0.11</v>
      </c>
      <c r="L5" s="5" t="n">
        <v>0.18</v>
      </c>
      <c r="M5" s="5" t="n">
        <v>0.37</v>
      </c>
      <c r="N5" s="5" t="n">
        <v>0.16</v>
      </c>
      <c r="O5" s="5">
        <f>SUM(C5:N5)</f>
        <v/>
      </c>
    </row>
    <row r="6">
      <c r="A6" s="2" t="inlineStr">
        <is>
          <t>Nordheide</t>
        </is>
      </c>
      <c r="B6" s="2" t="inlineStr">
        <is>
          <t>Redispatch 2.0</t>
        </is>
      </c>
      <c r="C6" s="3" t="n">
        <v>1.7</v>
      </c>
      <c r="D6" s="3" t="n">
        <v>1.89</v>
      </c>
      <c r="E6" s="3" t="n">
        <v>1.73</v>
      </c>
      <c r="F6" s="3" t="n">
        <v>1.34</v>
      </c>
      <c r="G6" s="3" t="n">
        <v>0.62</v>
      </c>
      <c r="H6" s="3" t="n">
        <v>1</v>
      </c>
      <c r="I6" s="3" t="n">
        <v>0.52</v>
      </c>
      <c r="J6" s="3" t="n">
        <v>0.88</v>
      </c>
      <c r="K6" s="3" t="n">
        <v>0.84</v>
      </c>
      <c r="L6" s="3" t="n">
        <v>0.73</v>
      </c>
      <c r="M6" s="3" t="n">
        <v>1.56</v>
      </c>
      <c r="N6" s="3" t="n">
        <v>2.09</v>
      </c>
      <c r="O6" s="3">
        <f>SUM(C6:N6)</f>
        <v/>
      </c>
    </row>
    <row r="7">
      <c r="A7" s="4" t="inlineStr">
        <is>
          <t>Wesermarsch</t>
        </is>
      </c>
      <c r="B7" s="4" t="inlineStr">
        <is>
          <t>Redispatch 2.0</t>
        </is>
      </c>
      <c r="C7" s="5" t="n">
        <v>0.89</v>
      </c>
      <c r="D7" s="5" t="n">
        <v>0.51</v>
      </c>
      <c r="E7" s="5" t="n">
        <v>0.47</v>
      </c>
      <c r="F7" s="5" t="n">
        <v>0.47</v>
      </c>
      <c r="G7" s="5" t="n">
        <v>0.75</v>
      </c>
      <c r="H7" s="5" t="n">
        <v>0.57</v>
      </c>
      <c r="I7" s="5" t="n">
        <v>0.49</v>
      </c>
      <c r="J7" s="5" t="n">
        <v>0.55</v>
      </c>
      <c r="K7" s="5" t="n">
        <v>0.8100000000000001</v>
      </c>
      <c r="L7" s="5" t="n">
        <v>0.47</v>
      </c>
      <c r="M7" s="5" t="n">
        <v>1.16</v>
      </c>
      <c r="N7" s="5" t="n">
        <v>0.97</v>
      </c>
      <c r="O7" s="5">
        <f>SUM(C7:N7)</f>
        <v/>
      </c>
    </row>
    <row r="8">
      <c r="A8" s="2" t="inlineStr">
        <is>
          <t>Ostholstein</t>
        </is>
      </c>
      <c r="B8" s="2" t="inlineStr">
        <is>
          <t>Redispatch 2.0</t>
        </is>
      </c>
      <c r="C8" s="3" t="n">
        <v>0.53</v>
      </c>
      <c r="D8" s="3" t="n">
        <v>0.54</v>
      </c>
      <c r="E8" s="3" t="n">
        <v>0.6899999999999999</v>
      </c>
      <c r="F8" s="3" t="n">
        <v>0.44</v>
      </c>
      <c r="G8" s="3" t="n">
        <v>0.51</v>
      </c>
      <c r="H8" s="3" t="n">
        <v>0.21</v>
      </c>
      <c r="I8" s="3" t="n">
        <v>0.3</v>
      </c>
      <c r="J8" s="3" t="n">
        <v>0.38</v>
      </c>
      <c r="K8" s="3" t="n">
        <v>0.44</v>
      </c>
      <c r="L8" s="3" t="n">
        <v>0.46</v>
      </c>
      <c r="M8" s="3" t="n">
        <v>0.47</v>
      </c>
      <c r="N8" s="3" t="n">
        <v>0.35</v>
      </c>
      <c r="O8" s="3">
        <f>SUM(C8:N8)</f>
        <v/>
      </c>
    </row>
    <row r="9">
      <c r="A9" s="4" t="inlineStr">
        <is>
          <t>Thy Vest</t>
        </is>
      </c>
      <c r="B9" s="4" t="inlineStr">
        <is>
          <t>Danish TSO / market</t>
        </is>
      </c>
      <c r="C9" s="5" t="n">
        <v>0.25</v>
      </c>
      <c r="D9" s="5" t="n">
        <v>0.26</v>
      </c>
      <c r="E9" s="5" t="n">
        <v>0.26</v>
      </c>
      <c r="F9" s="5" t="n">
        <v>0.13</v>
      </c>
      <c r="G9" s="5" t="n">
        <v>0.09</v>
      </c>
      <c r="H9" s="5" t="n">
        <v>0.05</v>
      </c>
      <c r="I9" s="5" t="n">
        <v>0.06</v>
      </c>
      <c r="J9" s="5" t="n">
        <v>0.09</v>
      </c>
      <c r="K9" s="5" t="n">
        <v>0.11</v>
      </c>
      <c r="L9" s="5" t="n">
        <v>0.09</v>
      </c>
      <c r="M9" s="5" t="n">
        <v>0.26</v>
      </c>
      <c r="N9" s="5" t="n">
        <v>0.24</v>
      </c>
      <c r="O9" s="5">
        <f>SUM(C9:N9)</f>
        <v/>
      </c>
    </row>
    <row r="10">
      <c r="A10" s="2" t="inlineStr">
        <is>
          <t>Uckermark Solar</t>
        </is>
      </c>
      <c r="B10" s="2" t="inlineStr">
        <is>
          <t>Negative prices (§51 EEG) + Redispatch</t>
        </is>
      </c>
      <c r="C10" s="3" t="n">
        <v>0.15</v>
      </c>
      <c r="D10" s="3" t="n">
        <v>0.34</v>
      </c>
      <c r="E10" s="3" t="n">
        <v>0.3</v>
      </c>
      <c r="F10" s="3" t="n">
        <v>0.49</v>
      </c>
      <c r="G10" s="3" t="n">
        <v>0.86</v>
      </c>
      <c r="H10" s="3" t="n">
        <v>0.57</v>
      </c>
      <c r="I10" s="3" t="n">
        <v>1.11</v>
      </c>
      <c r="J10" s="3" t="n">
        <v>0.48</v>
      </c>
      <c r="K10" s="3" t="n">
        <v>0.45</v>
      </c>
      <c r="L10" s="3" t="n">
        <v>0.39</v>
      </c>
      <c r="M10" s="3" t="n">
        <v>0.14</v>
      </c>
      <c r="N10" s="3" t="n">
        <v>0.06</v>
      </c>
      <c r="O10" s="3">
        <f>SUM(C10:N10)</f>
        <v/>
      </c>
    </row>
    <row r="11">
      <c r="A11" s="4" t="inlineStr">
        <is>
          <t>Lüneburger Heide Solar</t>
        </is>
      </c>
      <c r="B11" s="4" t="inlineStr">
        <is>
          <t>Negative prices (§51 EEG)</t>
        </is>
      </c>
      <c r="C11" s="5" t="n">
        <v>0.06</v>
      </c>
      <c r="D11" s="5" t="n">
        <v>0.12</v>
      </c>
      <c r="E11" s="5" t="n">
        <v>0.28</v>
      </c>
      <c r="F11" s="5" t="n">
        <v>0.34</v>
      </c>
      <c r="G11" s="5" t="n">
        <v>0.38</v>
      </c>
      <c r="H11" s="5" t="n">
        <v>0.43</v>
      </c>
      <c r="I11" s="5" t="n">
        <v>0.55</v>
      </c>
      <c r="J11" s="5" t="n">
        <v>0.29</v>
      </c>
      <c r="K11" s="5" t="n">
        <v>0.42</v>
      </c>
      <c r="L11" s="5" t="n">
        <v>0.19</v>
      </c>
      <c r="M11" s="5" t="n">
        <v>0.11</v>
      </c>
      <c r="N11" s="5" t="n">
        <v>0.05</v>
      </c>
      <c r="O11" s="5">
        <f>SUM(C11:N11)</f>
        <v/>
      </c>
    </row>
    <row r="12">
      <c r="A12" s="2" t="inlineStr">
        <is>
          <t>Emsland</t>
        </is>
      </c>
      <c r="B12" s="2" t="inlineStr">
        <is>
          <t>Redispatch 2.0</t>
        </is>
      </c>
      <c r="C12" s="3" t="n">
        <v>0.57</v>
      </c>
      <c r="D12" s="3" t="n">
        <v>0.84</v>
      </c>
      <c r="E12" s="3" t="n">
        <v>0.53</v>
      </c>
      <c r="F12" s="3" t="n">
        <v>0.54</v>
      </c>
      <c r="G12" s="3" t="n">
        <v>0.6899999999999999</v>
      </c>
      <c r="H12" s="3" t="n">
        <v>0.23</v>
      </c>
      <c r="I12" s="3" t="n">
        <v>0.4</v>
      </c>
      <c r="J12" s="3" t="n">
        <v>0.29</v>
      </c>
      <c r="K12" s="3" t="n">
        <v>0.54</v>
      </c>
      <c r="L12" s="3" t="n">
        <v>0.85</v>
      </c>
      <c r="M12" s="3" t="n">
        <v>0.49</v>
      </c>
      <c r="N12" s="3" t="n">
        <v>0.98</v>
      </c>
      <c r="O12" s="3">
        <f>SUM(C12:N12)</f>
        <v/>
      </c>
    </row>
    <row r="13">
      <c r="A13" s="4" t="inlineStr">
        <is>
          <t>Altmark</t>
        </is>
      </c>
      <c r="B13" s="4" t="inlineStr">
        <is>
          <t>Redispatch 2.0</t>
        </is>
      </c>
      <c r="C13" s="5" t="n">
        <v>1.13</v>
      </c>
      <c r="D13" s="5" t="n">
        <v>1.15</v>
      </c>
      <c r="E13" s="5" t="n">
        <v>1.22</v>
      </c>
      <c r="F13" s="5" t="n">
        <v>1.3</v>
      </c>
      <c r="G13" s="5" t="n">
        <v>1.15</v>
      </c>
      <c r="H13" s="5" t="n">
        <v>0.83</v>
      </c>
      <c r="I13" s="5" t="n">
        <v>0.5600000000000001</v>
      </c>
      <c r="J13" s="5" t="n">
        <v>0.99</v>
      </c>
      <c r="K13" s="5" t="n">
        <v>1.23</v>
      </c>
      <c r="L13" s="5" t="n">
        <v>0.57</v>
      </c>
      <c r="M13" s="5" t="n">
        <v>1.07</v>
      </c>
      <c r="N13" s="5" t="n">
        <v>1.98</v>
      </c>
      <c r="O13" s="5">
        <f>SUM(C13:N13)</f>
        <v/>
      </c>
    </row>
    <row r="14">
      <c r="A14" s="2" t="inlineStr">
        <is>
          <t>Ringkøbing</t>
        </is>
      </c>
      <c r="B14" s="2" t="inlineStr">
        <is>
          <t>Danish TSO / market</t>
        </is>
      </c>
      <c r="C14" s="3" t="n">
        <v>0.05</v>
      </c>
      <c r="D14" s="3" t="n">
        <v>0.03</v>
      </c>
      <c r="E14" s="3" t="n">
        <v>0.04</v>
      </c>
      <c r="F14" s="3" t="n">
        <v>0.02</v>
      </c>
      <c r="G14" s="3" t="n">
        <v>0.03</v>
      </c>
      <c r="H14" s="3" t="n">
        <v>0.03</v>
      </c>
      <c r="I14" s="3" t="n">
        <v>0.01</v>
      </c>
      <c r="J14" s="3" t="n">
        <v>0.02</v>
      </c>
      <c r="K14" s="3" t="n">
        <v>0.02</v>
      </c>
      <c r="L14" s="3" t="n">
        <v>0.04</v>
      </c>
      <c r="M14" s="3" t="n">
        <v>0.03</v>
      </c>
      <c r="N14" s="3" t="n">
        <v>0.03</v>
      </c>
      <c r="O14" s="3">
        <f>SUM(C14:N14)</f>
        <v/>
      </c>
    </row>
    <row r="15">
      <c r="A15" s="4" t="inlineStr">
        <is>
          <t>Fleet</t>
        </is>
      </c>
      <c r="B15" s="4" t="inlineStr"/>
      <c r="C15" s="5">
        <f>SUM(C2:C14)</f>
        <v/>
      </c>
      <c r="D15" s="5">
        <f>SUM(D2:D14)</f>
        <v/>
      </c>
      <c r="E15" s="5">
        <f>SUM(E2:E14)</f>
        <v/>
      </c>
      <c r="F15" s="5">
        <f>SUM(F2:F14)</f>
        <v/>
      </c>
      <c r="G15" s="5">
        <f>SUM(G2:G14)</f>
        <v/>
      </c>
      <c r="H15" s="5">
        <f>SUM(H2:H14)</f>
        <v/>
      </c>
      <c r="I15" s="5">
        <f>SUM(I2:I14)</f>
        <v/>
      </c>
      <c r="J15" s="5">
        <f>SUM(J2:J14)</f>
        <v/>
      </c>
      <c r="K15" s="5">
        <f>SUM(K2:K14)</f>
        <v/>
      </c>
      <c r="L15" s="5">
        <f>SUM(L2:L14)</f>
        <v/>
      </c>
      <c r="M15" s="5">
        <f>SUM(M2:M14)</f>
        <v/>
      </c>
      <c r="N15" s="5">
        <f>SUM(N2:N14)</f>
        <v/>
      </c>
      <c r="O15" s="5">
        <f>SUM(O2:O14)</f>
        <v/>
      </c>
    </row>
  </sheetData>
  <autoFilter ref="A1:O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Chen</dc:creator>
  <dcterms:created xmlns:dcterms="http://purl.org/dc/terms/" xmlns:xsi="http://www.w3.org/2001/XMLSchema-instance" xsi:type="dcterms:W3CDTF">2026-01-19T10:00:00Z</dcterms:created>
  <dcterms:modified xmlns:dcterms="http://purl.org/dc/terms/" xmlns:xsi="http://www.w3.org/2001/XMLSchema-instance" xsi:type="dcterms:W3CDTF">2026-10-04T19:30:40Z</dcterms:modified>
  <cp:lastModifiedBy>David Chen</cp:lastModifiedBy>
</cp:coreProperties>
</file>